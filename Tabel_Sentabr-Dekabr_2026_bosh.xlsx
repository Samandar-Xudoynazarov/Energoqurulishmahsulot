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entabr 2026" sheetId="1" state="visible" r:id="rId1"/>
    <sheet xmlns:r="http://schemas.openxmlformats.org/officeDocument/2006/relationships" name="Oktabr 2026" sheetId="2" state="visible" r:id="rId2"/>
    <sheet xmlns:r="http://schemas.openxmlformats.org/officeDocument/2006/relationships" name="Noyabr 2026" sheetId="3" state="visible" r:id="rId3"/>
    <sheet xmlns:r="http://schemas.openxmlformats.org/officeDocument/2006/relationships" name="Dekabr 2026" sheetId="4" state="visible" r:id="rId4"/>
  </sheets>
  <definedNames>
    <definedName name="_xlnm.Print_Area" localSheetId="0">'Sentabr 2026'!$A$1:$AK$65</definedName>
    <definedName name="_xlnm.Print_Area" localSheetId="1">'Oktabr 2026'!$A$1:$AK$65</definedName>
    <definedName name="_xlnm.Print_Area" localSheetId="2">'Noyabr 2026'!$A$1:$AK$65</definedName>
    <definedName name="_xlnm.Print_Area" localSheetId="3">'Dekabr 2026'!$A$1:$AK$65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7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color rgb="FFFF0000"/>
      <sz val="8"/>
    </font>
    <font>
      <name val="Times New Roman"/>
      <charset val="204"/>
      <family val="1"/>
      <b val="1"/>
      <color rgb="FFFF0000"/>
      <sz val="8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sz val="8"/>
    </font>
    <font>
      <name val="Times New Roman"/>
      <charset val="204"/>
      <family val="1"/>
      <b val="1"/>
      <sz val="8"/>
    </font>
    <font>
      <name val="Times New Roman"/>
      <charset val="204"/>
      <family val="1"/>
      <b val="1"/>
      <color rgb="FF00B0F0"/>
      <sz val="8"/>
    </font>
    <font>
      <name val="Calibri"/>
      <charset val="204"/>
      <family val="2"/>
      <color rgb="FF000000"/>
      <sz val="11"/>
      <scheme val="minor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6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double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double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center" vertical="top" wrapText="1"/>
    </xf>
    <xf numFmtId="0" fontId="2" fillId="0" borderId="1" applyAlignment="1" pivotButton="0" quotePrefix="0" xfId="1">
      <alignment horizontal="center" vertical="top" wrapText="1"/>
    </xf>
    <xf numFmtId="0" fontId="5" fillId="0" borderId="0" applyAlignment="1" pivotButton="0" quotePrefix="0" xfId="1">
      <alignment horizontal="left" vertical="center" wrapText="1"/>
    </xf>
    <xf numFmtId="0" fontId="4" fillId="0" borderId="0" applyAlignment="1" pivotButton="0" quotePrefix="0" xfId="1">
      <alignment horizontal="left" vertical="center" wrapText="1"/>
    </xf>
    <xf numFmtId="0" fontId="6" fillId="0" borderId="0" applyAlignment="1" pivotButton="0" quotePrefix="0" xfId="1">
      <alignment horizontal="justify" vertical="center" wrapText="1"/>
    </xf>
    <xf numFmtId="0" fontId="2" fillId="0" borderId="0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8" fillId="0" borderId="3" applyAlignment="1" pivotButton="0" quotePrefix="0" xfId="1">
      <alignment horizontal="center" vertical="center" wrapText="1"/>
    </xf>
    <xf numFmtId="0" fontId="6" fillId="0" borderId="3" applyAlignment="1" pivotButton="0" quotePrefix="0" xfId="1">
      <alignment horizontal="center" vertical="center" wrapText="1"/>
    </xf>
    <xf numFmtId="0" fontId="6" fillId="0" borderId="4" applyAlignment="1" pivotButton="0" quotePrefix="0" xfId="1">
      <alignment horizontal="center" vertical="center" wrapText="1"/>
    </xf>
    <xf numFmtId="0" fontId="9" fillId="2" borderId="3" applyAlignment="1" pivotButton="0" quotePrefix="0" xfId="1">
      <alignment vertical="center" wrapText="1"/>
    </xf>
    <xf numFmtId="0" fontId="10" fillId="0" borderId="3" applyAlignment="1" pivotButton="0" quotePrefix="0" xfId="1">
      <alignment horizontal="center" vertical="center" wrapText="1"/>
    </xf>
    <xf numFmtId="0" fontId="11" fillId="0" borderId="3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9" fillId="0" borderId="3" applyAlignment="1" pivotButton="0" quotePrefix="0" xfId="1">
      <alignment vertical="center" wrapText="1"/>
    </xf>
    <xf numFmtId="0" fontId="13" fillId="0" borderId="3" applyAlignment="1" pivotButton="0" quotePrefix="0" xfId="1">
      <alignment vertical="center" wrapText="1"/>
    </xf>
    <xf numFmtId="0" fontId="9" fillId="0" borderId="4" applyAlignment="1" pivotButton="0" quotePrefix="0" xfId="1">
      <alignment horizontal="left" vertical="center" wrapText="1"/>
    </xf>
    <xf numFmtId="0" fontId="9" fillId="0" borderId="3" applyAlignment="1" pivotButton="0" quotePrefix="0" xfId="1">
      <alignment horizontal="left" vertical="center" wrapText="1"/>
    </xf>
    <xf numFmtId="0" fontId="9" fillId="0" borderId="6" applyAlignment="1" pivotButton="0" quotePrefix="0" xfId="1">
      <alignment horizontal="left" vertical="center" wrapText="1"/>
    </xf>
    <xf numFmtId="0" fontId="9" fillId="2" borderId="6" applyAlignment="1" pivotButton="0" quotePrefix="0" xfId="1">
      <alignment vertical="center" wrapText="1"/>
    </xf>
    <xf numFmtId="0" fontId="9" fillId="0" borderId="6" applyAlignment="1" pivotButton="0" quotePrefix="0" xfId="1">
      <alignment vertical="center" wrapText="1"/>
    </xf>
    <xf numFmtId="0" fontId="9" fillId="2" borderId="0" applyAlignment="1" pivotButton="0" quotePrefix="0" xfId="1">
      <alignment vertical="center" wrapText="1"/>
    </xf>
    <xf numFmtId="0" fontId="9" fillId="0" borderId="0" applyAlignment="1" pivotButton="0" quotePrefix="0" xfId="1">
      <alignment vertical="center" wrapText="1"/>
    </xf>
    <xf numFmtId="0" fontId="14" fillId="0" borderId="3" applyAlignment="1" pivotButton="0" quotePrefix="0" xfId="1">
      <alignment vertical="center" wrapText="1"/>
    </xf>
    <xf numFmtId="0" fontId="6" fillId="0" borderId="3" applyAlignment="1" pivotButton="0" quotePrefix="0" xfId="1">
      <alignment horizontal="center" vertical="center" wrapText="1"/>
    </xf>
    <xf numFmtId="0" fontId="16" fillId="0" borderId="0" applyAlignment="1" pivotButton="0" quotePrefix="0" xfId="1">
      <alignment horizontal="left" vertical="center" wrapText="1"/>
    </xf>
    <xf numFmtId="0" fontId="17" fillId="0" borderId="0" applyAlignment="1" pivotButton="0" quotePrefix="0" xfId="1">
      <alignment vertical="center" wrapText="1"/>
    </xf>
    <xf numFmtId="0" fontId="17" fillId="0" borderId="0" applyAlignment="1" pivotButton="0" quotePrefix="0" xfId="1">
      <alignment horizontal="left" vertical="center" wrapText="1"/>
    </xf>
    <xf numFmtId="0" fontId="18" fillId="0" borderId="0" pivotButton="0" quotePrefix="0" xfId="1"/>
    <xf numFmtId="0" fontId="6" fillId="0" borderId="3" applyAlignment="1" pivotButton="0" quotePrefix="0" xfId="1">
      <alignment horizontal="center" vertical="center" wrapText="1"/>
    </xf>
    <xf numFmtId="0" fontId="6" fillId="0" borderId="3" applyAlignment="1" pivotButton="0" quotePrefix="0" xfId="1">
      <alignment horizontal="center" vertical="center" wrapText="1"/>
    </xf>
    <xf numFmtId="0" fontId="6" fillId="0" borderId="3" applyAlignment="1" pivotButton="0" quotePrefix="0" xfId="1">
      <alignment horizontal="center" vertical="center" wrapText="1"/>
    </xf>
    <xf numFmtId="0" fontId="15" fillId="0" borderId="33" applyAlignment="1" pivotButton="0" quotePrefix="0" xfId="1">
      <alignment horizontal="center" vertical="center" wrapText="1"/>
    </xf>
    <xf numFmtId="0" fontId="20" fillId="3" borderId="0" applyAlignment="1" pivotButton="0" quotePrefix="0" xfId="1">
      <alignment horizontal="center" vertical="center"/>
    </xf>
    <xf numFmtId="0" fontId="20" fillId="3" borderId="0" applyAlignment="1" pivotButton="0" quotePrefix="0" xfId="1">
      <alignment horizontal="center" vertical="center" wrapText="1"/>
    </xf>
    <xf numFmtId="0" fontId="19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right" vertical="center" wrapText="1"/>
    </xf>
    <xf numFmtId="0" fontId="15" fillId="0" borderId="18" applyAlignment="1" pivotButton="0" quotePrefix="0" xfId="1">
      <alignment horizontal="left" vertical="top" wrapText="1"/>
    </xf>
    <xf numFmtId="0" fontId="2" fillId="0" borderId="0" applyAlignment="1" pivotButton="0" quotePrefix="0" xfId="1">
      <alignment horizontal="center" vertical="top" wrapText="1"/>
    </xf>
    <xf numFmtId="0" fontId="2" fillId="0" borderId="33" applyAlignment="1" pivotButton="0" quotePrefix="0" xfId="1">
      <alignment horizontal="center" vertical="center" wrapText="1"/>
    </xf>
    <xf numFmtId="0" fontId="16" fillId="0" borderId="32" applyAlignment="1" pivotButton="0" quotePrefix="0" xfId="1">
      <alignment horizontal="center" vertical="center" wrapText="1"/>
    </xf>
    <xf numFmtId="0" fontId="16" fillId="0" borderId="1" applyAlignment="1" pivotButton="0" quotePrefix="0" xfId="1">
      <alignment horizontal="center" vertical="center" wrapText="1"/>
    </xf>
    <xf numFmtId="0" fontId="16" fillId="0" borderId="31" applyAlignment="1" pivotButton="0" quotePrefix="0" xfId="1">
      <alignment horizontal="center" vertical="center" wrapText="1"/>
    </xf>
    <xf numFmtId="0" fontId="16" fillId="0" borderId="27" applyAlignment="1" pivotButton="0" quotePrefix="0" xfId="1">
      <alignment horizontal="center" vertical="center" wrapText="1"/>
    </xf>
    <xf numFmtId="0" fontId="16" fillId="0" borderId="26" applyAlignment="1" pivotButton="0" quotePrefix="0" xfId="1">
      <alignment horizontal="center" vertical="center" wrapText="1"/>
    </xf>
    <xf numFmtId="0" fontId="16" fillId="0" borderId="25" applyAlignment="1" pivotButton="0" quotePrefix="0" xfId="1">
      <alignment horizontal="center" vertical="center" wrapText="1"/>
    </xf>
    <xf numFmtId="0" fontId="16" fillId="0" borderId="30" applyAlignment="1" pivotButton="0" quotePrefix="0" xfId="1">
      <alignment horizontal="center" vertical="center" wrapText="1"/>
    </xf>
    <xf numFmtId="0" fontId="16" fillId="0" borderId="29" applyAlignment="1" pivotButton="0" quotePrefix="0" xfId="1">
      <alignment horizontal="center" vertical="center" wrapText="1"/>
    </xf>
    <xf numFmtId="0" fontId="16" fillId="0" borderId="28" applyAlignment="1" pivotButton="0" quotePrefix="0" xfId="1">
      <alignment horizontal="center" vertical="center" wrapText="1"/>
    </xf>
    <xf numFmtId="0" fontId="16" fillId="0" borderId="24" applyAlignment="1" pivotButton="0" quotePrefix="0" xfId="1">
      <alignment horizontal="center" vertical="center" wrapText="1"/>
    </xf>
    <xf numFmtId="0" fontId="16" fillId="0" borderId="23" applyAlignment="1" pivotButton="0" quotePrefix="0" xfId="1">
      <alignment horizontal="center" vertical="center" wrapText="1"/>
    </xf>
    <xf numFmtId="0" fontId="16" fillId="0" borderId="22" applyAlignment="1" pivotButton="0" quotePrefix="0" xfId="1">
      <alignment horizontal="center" vertical="center" wrapText="1"/>
    </xf>
    <xf numFmtId="0" fontId="15" fillId="0" borderId="0" applyAlignment="1" pivotButton="0" quotePrefix="0" xfId="1">
      <alignment horizontal="left" vertical="center" wrapText="1"/>
    </xf>
    <xf numFmtId="0" fontId="16" fillId="0" borderId="21" applyAlignment="1" pivotButton="0" quotePrefix="0" xfId="1">
      <alignment horizontal="center" vertical="center" wrapText="1"/>
    </xf>
    <xf numFmtId="0" fontId="16" fillId="0" borderId="20" applyAlignment="1" pivotButton="0" quotePrefix="0" xfId="1">
      <alignment horizontal="center" vertical="center" wrapText="1"/>
    </xf>
    <xf numFmtId="0" fontId="16" fillId="0" borderId="19" applyAlignment="1" pivotButton="0" quotePrefix="0" xfId="1">
      <alignment horizontal="center" vertical="center" wrapText="1"/>
    </xf>
    <xf numFmtId="14" fontId="16" fillId="0" borderId="21" applyAlignment="1" pivotButton="0" quotePrefix="0" xfId="1">
      <alignment horizontal="center" vertical="center" wrapText="1"/>
    </xf>
    <xf numFmtId="14" fontId="16" fillId="0" borderId="20" applyAlignment="1" pivotButton="0" quotePrefix="0" xfId="1">
      <alignment horizontal="center" vertical="center" wrapText="1"/>
    </xf>
    <xf numFmtId="14" fontId="16" fillId="0" borderId="19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8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17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15" applyAlignment="1" pivotButton="0" quotePrefix="0" xfId="1">
      <alignment horizontal="center" vertical="center" wrapText="1"/>
    </xf>
    <xf numFmtId="0" fontId="2" fillId="0" borderId="14" applyAlignment="1" pivotButton="0" quotePrefix="0" xfId="1">
      <alignment horizontal="center" vertical="center" wrapText="1"/>
    </xf>
    <xf numFmtId="0" fontId="6" fillId="0" borderId="3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justify" vertical="center" wrapText="1"/>
    </xf>
    <xf numFmtId="0" fontId="2" fillId="0" borderId="2" applyAlignment="1" pivotButton="0" quotePrefix="0" xfId="1">
      <alignment horizontal="left" vertical="center" wrapText="1"/>
    </xf>
    <xf numFmtId="0" fontId="4" fillId="0" borderId="0" applyAlignment="1" pivotButton="0" quotePrefix="0" xfId="1">
      <alignment horizontal="left" vertical="center" wrapText="1"/>
    </xf>
    <xf numFmtId="0" fontId="2" fillId="0" borderId="1" applyAlignment="1" pivotButton="0" quotePrefix="0" xfId="1">
      <alignment horizontal="center" vertical="top" wrapText="1"/>
    </xf>
    <xf numFmtId="0" fontId="3" fillId="0" borderId="0" applyAlignment="1" pivotButton="0" quotePrefix="0" xfId="1">
      <alignment horizontal="left" vertical="center" wrapText="1"/>
    </xf>
    <xf numFmtId="0" fontId="0" fillId="0" borderId="33" pivotButton="0" quotePrefix="0" xfId="0"/>
    <xf numFmtId="0" fontId="16" fillId="0" borderId="44" applyAlignment="1" pivotButton="0" quotePrefix="0" xfId="1">
      <alignment horizontal="center" vertical="center" wrapText="1"/>
    </xf>
    <xf numFmtId="0" fontId="0" fillId="0" borderId="1" pivotButton="0" quotePrefix="0" xfId="0"/>
    <xf numFmtId="0" fontId="0" fillId="0" borderId="31" pivotButton="0" quotePrefix="0" xfId="0"/>
    <xf numFmtId="0" fontId="16" fillId="0" borderId="46" applyAlignment="1" pivotButton="0" quotePrefix="0" xfId="1">
      <alignment horizontal="center" vertical="center" wrapText="1"/>
    </xf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0" fontId="0" fillId="0" borderId="26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22" pivotButton="0" quotePrefix="0" xfId="0"/>
    <xf numFmtId="0" fontId="16" fillId="0" borderId="47" applyAlignment="1" pivotButton="0" quotePrefix="0" xfId="1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14" fontId="16" fillId="0" borderId="47" applyAlignment="1" pivotButton="0" quotePrefix="0" xfId="1">
      <alignment horizontal="center" vertical="center" wrapText="1"/>
    </xf>
    <xf numFmtId="0" fontId="0" fillId="0" borderId="18" pivotButton="0" quotePrefix="0" xfId="0"/>
    <xf numFmtId="0" fontId="2" fillId="0" borderId="39" applyAlignment="1" pivotButton="0" quotePrefix="0" xfId="1">
      <alignment horizontal="center" vertical="center" wrapText="1"/>
    </xf>
    <xf numFmtId="0" fontId="0" fillId="0" borderId="15" pivotButton="0" quotePrefix="0" xfId="0"/>
    <xf numFmtId="0" fontId="0" fillId="0" borderId="14" pivotButton="0" quotePrefix="0" xfId="0"/>
    <xf numFmtId="0" fontId="2" fillId="0" borderId="42" applyAlignment="1" pivotButton="0" quotePrefix="0" xfId="1">
      <alignment horizontal="center" vertical="center" wrapText="1"/>
    </xf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6" pivotButton="0" quotePrefix="0" xfId="0"/>
    <xf numFmtId="0" fontId="0" fillId="0" borderId="4" pivotButton="0" quotePrefix="0" xfId="0"/>
    <xf numFmtId="0" fontId="0" fillId="0" borderId="2" pivotButton="0" quotePrefix="0" xfId="0"/>
  </cellXfs>
  <cellStyles count="2">
    <cellStyle name="Обычный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65"/>
  <sheetViews>
    <sheetView workbookViewId="0">
      <selection activeCell="A1" sqref="A1"/>
    </sheetView>
  </sheetViews>
  <sheetFormatPr baseColWidth="8" defaultRowHeight="15"/>
  <cols>
    <col width="4.85546875" customWidth="1" style="1" min="1" max="1"/>
    <col width="37.85546875" customWidth="1" style="1" min="2" max="2"/>
    <col width="22.140625" customWidth="1" style="1" min="3" max="3"/>
    <col width="31.7109375" customWidth="1" style="1" min="4" max="4"/>
    <col width="3.42578125" customWidth="1" style="1" min="5" max="5"/>
    <col width="3.5703125" customWidth="1" style="1" min="6" max="6"/>
    <col width="3" customWidth="1" style="1" min="7" max="7"/>
    <col width="2.7109375" customWidth="1" style="1" min="8" max="8"/>
    <col width="3.5703125" customWidth="1" style="1" min="9" max="11"/>
    <col width="3.140625" customWidth="1" style="1" min="12" max="13"/>
    <col width="2.7109375" bestFit="1" customWidth="1" style="1" min="14" max="14"/>
    <col width="3.42578125" customWidth="1" style="1" min="15" max="15"/>
    <col width="2.85546875" customWidth="1" style="1" min="16" max="16"/>
    <col width="3.140625" customWidth="1" style="1" min="17" max="17"/>
    <col width="3.28515625" customWidth="1" style="1" min="18" max="18"/>
    <col width="3.7109375" customWidth="1" style="1" min="19" max="19"/>
    <col width="3.28515625" customWidth="1" style="1" min="20" max="20"/>
    <col width="2.7109375" bestFit="1" customWidth="1" style="1" min="21" max="21"/>
    <col width="3.28515625" customWidth="1" style="1" min="22" max="22"/>
    <col width="3.5703125" customWidth="1" style="1" min="23" max="23"/>
    <col width="2.7109375" bestFit="1" customWidth="1" style="1" min="24" max="24"/>
    <col width="3" customWidth="1" style="1" min="25" max="25"/>
    <col width="4" customWidth="1" style="1" min="26" max="26"/>
    <col width="3.85546875" customWidth="1" style="1" min="27" max="27"/>
    <col width="3.5703125" customWidth="1" style="1" min="28" max="28"/>
    <col width="2.7109375" bestFit="1" customWidth="1" style="1" min="29" max="29"/>
    <col width="3.42578125" customWidth="1" style="1" min="30" max="30"/>
    <col width="3.28515625" customWidth="1" style="1" min="31" max="31"/>
    <col width="3.7109375" customWidth="1" style="1" min="32" max="33"/>
    <col width="4.28515625" customWidth="1" style="1" min="34" max="34"/>
    <col width="4" customWidth="1" style="1" min="35" max="35"/>
    <col width="9.140625" customWidth="1" style="1" min="36" max="16384"/>
  </cols>
  <sheetData>
    <row r="1">
      <c r="A1" s="1" t="n"/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34" t="n"/>
      <c r="AD1" s="39" t="inlineStr">
        <is>
          <t>“TASLIQLAYMAN”</t>
        </is>
      </c>
    </row>
    <row r="2">
      <c r="A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40" t="inlineStr">
        <is>
          <t>"ELEKTROQURILISHMAXSULOT" MCHJ</t>
        </is>
      </c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40" t="inlineStr">
        <is>
          <t>______________      F,MAXMUDOV</t>
        </is>
      </c>
    </row>
    <row r="4">
      <c r="A4" s="34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41" t="inlineStr">
        <is>
          <t>"_______"___________2026 yil</t>
        </is>
      </c>
      <c r="AK4" s="34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42" t="n"/>
    </row>
    <row r="6" ht="16.5" customHeight="1" thickBot="1">
      <c r="A6" s="38" t="inlineStr">
        <is>
          <t>"ELEKTROQURILISHMAXSULOT" АЖ</t>
        </is>
      </c>
      <c r="B6" s="84" t="n"/>
      <c r="C6" s="84" t="n"/>
      <c r="D6" s="84" t="n"/>
      <c r="E6" s="84" t="n"/>
      <c r="F6" s="84" t="n"/>
      <c r="G6" s="84" t="n"/>
      <c r="H6" s="84" t="n"/>
      <c r="I6" s="84" t="n"/>
      <c r="J6" s="84" t="n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  <c r="AA6" s="84" t="n"/>
      <c r="AB6" s="84" t="n"/>
      <c r="AC6" s="84" t="n"/>
      <c r="AD6" s="84" t="n"/>
      <c r="AE6" s="84" t="n"/>
      <c r="AF6" s="84" t="n"/>
      <c r="AG6" s="84" t="n"/>
      <c r="AH6" s="84" t="n"/>
      <c r="AI6" s="84" t="n"/>
      <c r="AJ6" s="84" t="n"/>
      <c r="AK6" s="84" t="n"/>
    </row>
    <row r="7">
      <c r="A7" s="44" t="inlineStr">
        <is>
          <t xml:space="preserve">                                                                kompaniya nomi</t>
        </is>
      </c>
      <c r="AG7" s="33" t="n"/>
      <c r="AH7" s="33" t="n"/>
      <c r="AI7" s="33" t="n"/>
      <c r="AJ7" s="32" t="n"/>
      <c r="AK7" s="32" t="n"/>
    </row>
    <row r="8" ht="15.75" customHeight="1" thickBot="1">
      <c r="A8" s="45" t="n"/>
      <c r="B8" s="84" t="n"/>
      <c r="C8" s="84" t="n"/>
      <c r="D8" s="84" t="n"/>
      <c r="E8" s="84" t="n"/>
      <c r="F8" s="84" t="n"/>
      <c r="G8" s="84" t="n"/>
      <c r="H8" s="84" t="n"/>
      <c r="I8" s="84" t="n"/>
      <c r="J8" s="84" t="n"/>
      <c r="K8" s="84" t="n"/>
      <c r="L8" s="84" t="n"/>
      <c r="M8" s="84" t="n"/>
      <c r="N8" s="84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84" t="n"/>
      <c r="AB8" s="84" t="n"/>
      <c r="AC8" s="84" t="n"/>
      <c r="AD8" s="84" t="n"/>
      <c r="AE8" s="84" t="n"/>
      <c r="AF8" s="84" t="n"/>
      <c r="AG8" s="84" t="n"/>
      <c r="AH8" s="84" t="n"/>
      <c r="AI8" s="84" t="n"/>
      <c r="AJ8" s="84" t="n"/>
      <c r="AK8" s="84" t="n"/>
    </row>
    <row r="9" ht="15.75" customHeight="1" thickBot="1">
      <c r="A9" s="44" t="inlineStr">
        <is>
          <t xml:space="preserve">                                                           tarkibiy bo'linma</t>
        </is>
      </c>
      <c r="AG9" s="2" t="n"/>
      <c r="AH9" s="2" t="n"/>
      <c r="AI9" s="2" t="n"/>
      <c r="AJ9" s="2" t="n"/>
      <c r="AK9" s="2" t="n"/>
    </row>
    <row r="10" ht="15.75" customHeight="1" thickBo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85" t="inlineStr">
        <is>
          <t>Hujjat raqami</t>
        </is>
      </c>
      <c r="R10" s="86" t="n"/>
      <c r="S10" s="86" t="n"/>
      <c r="T10" s="86" t="n"/>
      <c r="U10" s="87" t="n"/>
      <c r="V10" s="85" t="inlineStr">
        <is>
          <t>Tuzilish sanasi</t>
        </is>
      </c>
      <c r="W10" s="86" t="n"/>
      <c r="X10" s="86" t="n"/>
      <c r="Y10" s="86" t="n"/>
      <c r="Z10" s="86" t="n"/>
      <c r="AA10" s="87" t="n"/>
      <c r="AB10" s="31" t="n"/>
      <c r="AC10" s="88" t="inlineStr">
        <is>
          <t>Hisobot davri</t>
        </is>
      </c>
      <c r="AD10" s="89" t="n"/>
      <c r="AE10" s="89" t="n"/>
      <c r="AF10" s="89" t="n"/>
      <c r="AG10" s="89" t="n"/>
      <c r="AH10" s="90" t="n"/>
      <c r="AI10" s="2" t="n"/>
      <c r="AJ10" s="2" t="n"/>
      <c r="AK10" s="2" t="n"/>
    </row>
    <row r="11" ht="15.75" customHeight="1" thickBo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91" t="n"/>
      <c r="R11" s="92" t="n"/>
      <c r="S11" s="92" t="n"/>
      <c r="T11" s="92" t="n"/>
      <c r="U11" s="93" t="n"/>
      <c r="V11" s="91" t="n"/>
      <c r="W11" s="92" t="n"/>
      <c r="X11" s="92" t="n"/>
      <c r="Y11" s="92" t="n"/>
      <c r="Z11" s="92" t="n"/>
      <c r="AA11" s="93" t="n"/>
      <c r="AB11" s="31" t="n"/>
      <c r="AC11" s="85" t="inlineStr">
        <is>
          <t>dan</t>
        </is>
      </c>
      <c r="AD11" s="94" t="n"/>
      <c r="AE11" s="95" t="n"/>
      <c r="AF11" s="85" t="inlineStr">
        <is>
          <t>bo'yicha</t>
        </is>
      </c>
      <c r="AG11" s="94" t="n"/>
      <c r="AH11" s="95" t="n"/>
      <c r="AI11" s="2" t="n"/>
      <c r="AJ11" s="2" t="n"/>
      <c r="AK11" s="2" t="n"/>
    </row>
    <row r="12" ht="17.25" customHeight="1" thickBot="1" thickTop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58" t="inlineStr">
        <is>
          <t>TABEL</t>
        </is>
      </c>
      <c r="P12" s="2" t="n"/>
      <c r="Q12" s="96" t="inlineStr">
        <is>
          <t>_________</t>
        </is>
      </c>
      <c r="R12" s="97" t="n"/>
      <c r="S12" s="97" t="n"/>
      <c r="T12" s="97" t="n"/>
      <c r="U12" s="98" t="n"/>
      <c r="V12" s="99" t="inlineStr">
        <is>
          <t>01.09-30.09.2026</t>
        </is>
      </c>
      <c r="W12" s="97" t="n"/>
      <c r="X12" s="97" t="n"/>
      <c r="Y12" s="97" t="n"/>
      <c r="Z12" s="97" t="n"/>
      <c r="AA12" s="98" t="n"/>
      <c r="AB12" s="31" t="n"/>
      <c r="AC12" s="99" t="inlineStr">
        <is>
          <t>01.09.2026</t>
        </is>
      </c>
      <c r="AD12" s="97" t="n"/>
      <c r="AE12" s="98" t="n"/>
      <c r="AF12" s="99" t="inlineStr">
        <is>
          <t>30.09.2026</t>
        </is>
      </c>
      <c r="AG12" s="97" t="n"/>
      <c r="AH12" s="98" t="n"/>
      <c r="AI12" s="2" t="n"/>
      <c r="AJ12" s="2" t="n"/>
      <c r="AK12" s="2" t="n"/>
    </row>
    <row r="13" ht="17.25" customHeight="1" thickBot="1" thickTop="1">
      <c r="A13" s="2" t="n"/>
      <c r="B13" s="2" t="n"/>
      <c r="C13" s="2" t="n"/>
      <c r="D13" s="2" t="n"/>
      <c r="E13" s="2" t="n"/>
      <c r="F13" s="2" t="n"/>
      <c r="G13" s="2" t="n"/>
      <c r="H13" s="2" t="n"/>
      <c r="I13" s="43" t="inlineStr">
        <is>
          <t>ish vaqtini hisoblash</t>
        </is>
      </c>
      <c r="J13" s="100" t="n"/>
      <c r="K13" s="100" t="n"/>
      <c r="L13" s="100" t="n"/>
      <c r="M13" s="100" t="n"/>
      <c r="N13" s="100" t="n"/>
      <c r="O13" s="100" t="n"/>
      <c r="P13" s="100" t="n"/>
      <c r="Q13" s="100" t="n"/>
      <c r="R13" s="100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</row>
    <row r="14" ht="16.5" customHeight="1" thickBot="1" thickTop="1">
      <c r="A14" s="73" t="inlineStr">
        <is>
          <t>№</t>
        </is>
      </c>
      <c r="B14" s="75" t="inlineStr">
        <is>
          <t>Familiya IS.</t>
        </is>
      </c>
      <c r="C14" s="75" t="inlineStr">
        <is>
          <t>Lavozim</t>
        </is>
      </c>
      <c r="D14" s="75" t="inlineStr">
        <is>
          <t xml:space="preserve">Bo'lim nomi </t>
        </is>
      </c>
      <c r="E14" s="101" t="inlineStr">
        <is>
          <t>Oyni kunlari bo‘yicha ishga kelish va kelmaslik belgilari</t>
        </is>
      </c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02" t="n"/>
      <c r="R14" s="102" t="n"/>
      <c r="S14" s="102" t="n"/>
      <c r="T14" s="102" t="n"/>
      <c r="U14" s="102" t="n"/>
      <c r="V14" s="102" t="n"/>
      <c r="W14" s="102" t="n"/>
      <c r="X14" s="102" t="n"/>
      <c r="Y14" s="102" t="n"/>
      <c r="Z14" s="102" t="n"/>
      <c r="AA14" s="102" t="n"/>
      <c r="AB14" s="102" t="n"/>
      <c r="AC14" s="102" t="n"/>
      <c r="AD14" s="102" t="n"/>
      <c r="AE14" s="102" t="n"/>
      <c r="AF14" s="102" t="n"/>
      <c r="AG14" s="102" t="n"/>
      <c r="AH14" s="102" t="n"/>
      <c r="AI14" s="103" t="n"/>
      <c r="AJ14" s="104" t="inlineStr">
        <is>
          <t>Oylik ishlagan</t>
        </is>
      </c>
      <c r="AK14" s="105" t="n"/>
    </row>
    <row r="15">
      <c r="A15" s="106" t="n"/>
      <c r="B15" s="107" t="n"/>
      <c r="C15" s="107" t="n"/>
      <c r="D15" s="107" t="n"/>
      <c r="E15" s="67" t="n">
        <v>1</v>
      </c>
      <c r="F15" s="67" t="n">
        <v>2</v>
      </c>
      <c r="G15" s="69" t="n">
        <v>3</v>
      </c>
      <c r="H15" s="69" t="n">
        <v>4</v>
      </c>
      <c r="I15" s="69" t="n">
        <v>5</v>
      </c>
      <c r="J15" s="69" t="n">
        <v>6</v>
      </c>
      <c r="K15" s="69" t="n">
        <v>7</v>
      </c>
      <c r="L15" s="67" t="n">
        <v>8</v>
      </c>
      <c r="M15" s="67" t="n">
        <v>9</v>
      </c>
      <c r="N15" s="69" t="n">
        <v>10</v>
      </c>
      <c r="O15" s="69" t="n">
        <v>11</v>
      </c>
      <c r="P15" s="69" t="n">
        <v>12</v>
      </c>
      <c r="Q15" s="69" t="n">
        <v>13</v>
      </c>
      <c r="R15" s="69" t="n">
        <v>14</v>
      </c>
      <c r="S15" s="67" t="n">
        <v>15</v>
      </c>
      <c r="T15" s="67" t="n">
        <v>16</v>
      </c>
      <c r="U15" s="69" t="n">
        <v>17</v>
      </c>
      <c r="V15" s="69" t="n">
        <v>18</v>
      </c>
      <c r="W15" s="69" t="n">
        <v>19</v>
      </c>
      <c r="X15" s="69" t="n">
        <v>20</v>
      </c>
      <c r="Y15" s="69" t="n">
        <v>21</v>
      </c>
      <c r="Z15" s="67" t="n">
        <v>22</v>
      </c>
      <c r="AA15" s="67" t="n">
        <v>23</v>
      </c>
      <c r="AB15" s="69" t="n">
        <v>24</v>
      </c>
      <c r="AC15" s="69" t="n">
        <v>25</v>
      </c>
      <c r="AD15" s="69" t="n">
        <v>26</v>
      </c>
      <c r="AE15" s="69" t="n">
        <v>27</v>
      </c>
      <c r="AF15" s="69" t="n">
        <v>28</v>
      </c>
      <c r="AG15" s="67" t="n">
        <v>29</v>
      </c>
      <c r="AH15" s="67" t="n">
        <v>30</v>
      </c>
      <c r="AI15" s="69" t="n"/>
      <c r="AJ15" s="69" t="inlineStr">
        <is>
          <t>Kunlar</t>
        </is>
      </c>
      <c r="AK15" s="71" t="inlineStr">
        <is>
          <t>Soat</t>
        </is>
      </c>
    </row>
    <row r="16">
      <c r="A16" s="106" t="n"/>
      <c r="B16" s="107" t="n"/>
      <c r="C16" s="107" t="n"/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  <c r="N16" s="107" t="n"/>
      <c r="O16" s="107" t="n"/>
      <c r="P16" s="107" t="n"/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107" t="n"/>
      <c r="AJ16" s="107" t="n"/>
      <c r="AK16" s="108" t="n"/>
    </row>
    <row r="17">
      <c r="A17" s="106" t="n"/>
      <c r="B17" s="107" t="n"/>
      <c r="C17" s="107" t="n"/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  <c r="N17" s="107" t="n"/>
      <c r="O17" s="107" t="n"/>
      <c r="P17" s="107" t="n"/>
      <c r="Q17" s="107" t="n"/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107" t="n"/>
      <c r="AJ17" s="107" t="n"/>
      <c r="AK17" s="108" t="n"/>
    </row>
    <row r="18">
      <c r="A18" s="78" t="n">
        <v>1</v>
      </c>
      <c r="B18" s="78" t="n">
        <v>2</v>
      </c>
      <c r="C18" s="78" t="n">
        <v>3</v>
      </c>
      <c r="D18" s="78" t="n">
        <v>3</v>
      </c>
      <c r="E18" s="78" t="n">
        <v>4</v>
      </c>
      <c r="F18" s="109" t="n"/>
      <c r="G18" s="109" t="n"/>
      <c r="H18" s="109" t="n"/>
      <c r="I18" s="109" t="n"/>
      <c r="J18" s="109" t="n"/>
      <c r="K18" s="109" t="n"/>
      <c r="L18" s="109" t="n"/>
      <c r="M18" s="109" t="n"/>
      <c r="N18" s="109" t="n"/>
      <c r="O18" s="109" t="n"/>
      <c r="P18" s="109" t="n"/>
      <c r="Q18" s="109" t="n"/>
      <c r="R18" s="109" t="n"/>
      <c r="S18" s="109" t="n"/>
      <c r="T18" s="109" t="n"/>
      <c r="U18" s="109" t="n"/>
      <c r="V18" s="109" t="n"/>
      <c r="W18" s="109" t="n"/>
      <c r="X18" s="109" t="n"/>
      <c r="Y18" s="109" t="n"/>
      <c r="Z18" s="109" t="n"/>
      <c r="AA18" s="109" t="n"/>
      <c r="AB18" s="109" t="n"/>
      <c r="AC18" s="109" t="n"/>
      <c r="AD18" s="109" t="n"/>
      <c r="AE18" s="109" t="n"/>
      <c r="AF18" s="109" t="n"/>
      <c r="AG18" s="109" t="n"/>
      <c r="AH18" s="109" t="n"/>
      <c r="AI18" s="110" t="n"/>
      <c r="AJ18" s="78" t="n">
        <v>5</v>
      </c>
      <c r="AK18" s="78" t="n">
        <v>6</v>
      </c>
    </row>
    <row r="19" ht="17.25" customHeight="1" thickBot="1">
      <c r="A19" s="78" t="n">
        <v>1</v>
      </c>
      <c r="B19" s="26" t="inlineStr">
        <is>
          <t>Махмудов  Фазлиддин Аминович</t>
        </is>
      </c>
      <c r="C19" s="20" t="inlineStr">
        <is>
          <t>Директор</t>
        </is>
      </c>
      <c r="D19" s="19" t="inlineStr">
        <is>
          <t>Бошқарув</t>
        </is>
      </c>
      <c r="E19" s="11" t="n"/>
      <c r="F19" s="11" t="n"/>
      <c r="G19" s="78" t="n"/>
      <c r="H19" s="78" t="n"/>
      <c r="I19" s="78" t="n"/>
      <c r="J19" s="78" t="n"/>
      <c r="K19" s="78" t="n"/>
      <c r="L19" s="11" t="n"/>
      <c r="M19" s="11" t="n"/>
      <c r="N19" s="78" t="n"/>
      <c r="O19" s="78" t="n"/>
      <c r="P19" s="78" t="n"/>
      <c r="Q19" s="78" t="n"/>
      <c r="R19" s="78" t="n"/>
      <c r="S19" s="11" t="n"/>
      <c r="T19" s="11" t="n"/>
      <c r="U19" s="16" t="n"/>
      <c r="V19" s="78" t="n"/>
      <c r="W19" s="78" t="n"/>
      <c r="X19" s="78" t="n"/>
      <c r="Y19" s="78" t="n"/>
      <c r="Z19" s="11" t="n"/>
      <c r="AA19" s="11" t="n"/>
      <c r="AB19" s="16" t="n"/>
      <c r="AC19" s="78" t="n"/>
      <c r="AD19" s="78" t="n"/>
      <c r="AE19" s="78" t="n"/>
      <c r="AF19" s="78" t="n"/>
      <c r="AG19" s="11" t="n"/>
      <c r="AH19" s="11" t="n"/>
      <c r="AI19" s="10" t="n"/>
      <c r="AJ19" s="78">
        <f>IF(COUNT(E19:AI19)=0,"",COUNT(E19:AI19))</f>
        <v/>
      </c>
      <c r="AK19" s="78">
        <f>IF(COUNT(E19:AI19)=0,"",SUM(E19:AI19))</f>
        <v/>
      </c>
    </row>
    <row r="20" ht="15.75" customHeight="1" thickBot="1">
      <c r="A20" s="78" t="n">
        <v>2</v>
      </c>
      <c r="B20" s="26" t="inlineStr">
        <is>
          <t>Жабборов Фозил Фахмон угли</t>
        </is>
      </c>
      <c r="C20" s="20" t="inlineStr">
        <is>
          <t>Цех бошлиги</t>
        </is>
      </c>
      <c r="D20" s="19" t="inlineStr">
        <is>
          <t>Бошқарув апарати мутахассиси</t>
        </is>
      </c>
      <c r="E20" s="11" t="n"/>
      <c r="F20" s="11" t="n"/>
      <c r="G20" s="78" t="n"/>
      <c r="H20" s="78" t="n"/>
      <c r="I20" s="78" t="n"/>
      <c r="J20" s="78" t="n"/>
      <c r="K20" s="78" t="n"/>
      <c r="L20" s="11" t="n"/>
      <c r="M20" s="11" t="n"/>
      <c r="N20" s="78" t="n"/>
      <c r="O20" s="78" t="n"/>
      <c r="P20" s="78" t="n"/>
      <c r="Q20" s="78" t="n"/>
      <c r="R20" s="78" t="n"/>
      <c r="S20" s="11" t="n"/>
      <c r="T20" s="11" t="n"/>
      <c r="U20" s="16" t="n"/>
      <c r="V20" s="78" t="n"/>
      <c r="W20" s="78" t="n"/>
      <c r="X20" s="78" t="n"/>
      <c r="Y20" s="78" t="n"/>
      <c r="Z20" s="11" t="n"/>
      <c r="AA20" s="11" t="n"/>
      <c r="AB20" s="16" t="n"/>
      <c r="AC20" s="78" t="n"/>
      <c r="AD20" s="78" t="n"/>
      <c r="AE20" s="78" t="n"/>
      <c r="AF20" s="78" t="n"/>
      <c r="AG20" s="11" t="n"/>
      <c r="AH20" s="11" t="n"/>
      <c r="AI20" s="10" t="n"/>
      <c r="AJ20" s="78">
        <f>IF(COUNT(E20:AI20)=0,"",COUNT(E20:AI20))</f>
        <v/>
      </c>
      <c r="AK20" s="78">
        <f>IF(COUNT(E20:AI20)=0,"",SUM(E20:AI20))</f>
        <v/>
      </c>
    </row>
    <row r="21" ht="15.75" customHeight="1" thickBot="1">
      <c r="A21" s="78" t="n">
        <v>3</v>
      </c>
      <c r="B21" s="26" t="inlineStr">
        <is>
          <t>Аралова Зебо Баратовна</t>
        </is>
      </c>
      <c r="C21" s="20" t="inlineStr">
        <is>
          <t>Хисобчи</t>
        </is>
      </c>
      <c r="D21" s="19" t="inlineStr">
        <is>
          <t>Бошқарув апарати мутахассиси</t>
        </is>
      </c>
      <c r="E21" s="11" t="n"/>
      <c r="F21" s="11" t="n"/>
      <c r="G21" s="78" t="n"/>
      <c r="H21" s="78" t="n"/>
      <c r="I21" s="78" t="n"/>
      <c r="J21" s="78" t="n"/>
      <c r="K21" s="78" t="n"/>
      <c r="L21" s="11" t="n"/>
      <c r="M21" s="11" t="n"/>
      <c r="N21" s="78" t="n"/>
      <c r="O21" s="78" t="n"/>
      <c r="P21" s="78" t="n"/>
      <c r="Q21" s="78" t="n"/>
      <c r="R21" s="78" t="n"/>
      <c r="S21" s="11" t="n"/>
      <c r="T21" s="11" t="n"/>
      <c r="U21" s="16" t="n"/>
      <c r="V21" s="78" t="n"/>
      <c r="W21" s="78" t="n"/>
      <c r="X21" s="78" t="n"/>
      <c r="Y21" s="78" t="n"/>
      <c r="Z21" s="11" t="n"/>
      <c r="AA21" s="11" t="n"/>
      <c r="AB21" s="16" t="n"/>
      <c r="AC21" s="78" t="n"/>
      <c r="AD21" s="78" t="n"/>
      <c r="AE21" s="78" t="n"/>
      <c r="AF21" s="78" t="n"/>
      <c r="AG21" s="11" t="n"/>
      <c r="AH21" s="11" t="n"/>
      <c r="AI21" s="10" t="n"/>
      <c r="AJ21" s="78">
        <f>IF(COUNT(E21:AI21)=0,"",COUNT(E21:AI21))</f>
        <v/>
      </c>
      <c r="AK21" s="78">
        <f>IF(COUNT(E21:AI21)=0,"",SUM(E21:AI21))</f>
        <v/>
      </c>
    </row>
    <row r="22" ht="15" customHeight="1" thickBot="1">
      <c r="A22" s="78" t="n">
        <v>4</v>
      </c>
      <c r="B22" s="26" t="inlineStr">
        <is>
          <t>Меликмуродов Асадулло  Рахматуллаевич</t>
        </is>
      </c>
      <c r="C22" s="20" t="inlineStr">
        <is>
          <t>Главныий механик</t>
        </is>
      </c>
      <c r="D22" s="19" t="inlineStr">
        <is>
          <t>Бошқарув апарати мутахассиси</t>
        </is>
      </c>
      <c r="E22" s="11" t="n"/>
      <c r="F22" s="11" t="n"/>
      <c r="G22" s="78" t="n"/>
      <c r="H22" s="78" t="n"/>
      <c r="I22" s="78" t="n"/>
      <c r="J22" s="78" t="n"/>
      <c r="K22" s="78" t="n"/>
      <c r="L22" s="11" t="n"/>
      <c r="M22" s="11" t="n"/>
      <c r="N22" s="78" t="n"/>
      <c r="O22" s="78" t="n"/>
      <c r="P22" s="78" t="n"/>
      <c r="Q22" s="78" t="n"/>
      <c r="R22" s="78" t="n"/>
      <c r="S22" s="11" t="n"/>
      <c r="T22" s="11" t="n"/>
      <c r="U22" s="16" t="n"/>
      <c r="V22" s="78" t="n"/>
      <c r="W22" s="78" t="n"/>
      <c r="X22" s="78" t="n"/>
      <c r="Y22" s="78" t="n"/>
      <c r="Z22" s="11" t="n"/>
      <c r="AA22" s="11" t="n"/>
      <c r="AB22" s="16" t="n"/>
      <c r="AC22" s="78" t="n"/>
      <c r="AD22" s="78" t="n"/>
      <c r="AE22" s="78" t="n"/>
      <c r="AF22" s="78" t="n"/>
      <c r="AG22" s="11" t="n"/>
      <c r="AH22" s="11" t="n"/>
      <c r="AI22" s="10" t="n"/>
      <c r="AJ22" s="78">
        <f>IF(COUNT(E22:AI22)=0,"",COUNT(E22:AI22))</f>
        <v/>
      </c>
      <c r="AK22" s="78">
        <f>IF(COUNT(E22:AI22)=0,"",SUM(E22:AI22))</f>
        <v/>
      </c>
    </row>
    <row r="23" ht="15" customHeight="1" thickBot="1">
      <c r="A23" s="78" t="n">
        <v>5</v>
      </c>
      <c r="B23" s="26" t="inlineStr">
        <is>
          <t>Махмудов  Бахтиёр Юнус угли</t>
        </is>
      </c>
      <c r="C23" s="29" t="inlineStr">
        <is>
          <t>Инженер ОТК</t>
        </is>
      </c>
      <c r="D23" s="19" t="inlineStr">
        <is>
          <t>Бошқарув апарати мутахассиси</t>
        </is>
      </c>
      <c r="E23" s="11" t="n"/>
      <c r="F23" s="11" t="n"/>
      <c r="G23" s="78" t="n"/>
      <c r="H23" s="78" t="n"/>
      <c r="I23" s="78" t="n"/>
      <c r="J23" s="78" t="n"/>
      <c r="K23" s="78" t="n"/>
      <c r="L23" s="11" t="n"/>
      <c r="M23" s="11" t="n"/>
      <c r="N23" s="78" t="n"/>
      <c r="O23" s="78" t="n"/>
      <c r="P23" s="78" t="n"/>
      <c r="Q23" s="78" t="n"/>
      <c r="R23" s="78" t="n"/>
      <c r="S23" s="11" t="n"/>
      <c r="T23" s="11" t="n"/>
      <c r="U23" s="16" t="n"/>
      <c r="V23" s="78" t="n"/>
      <c r="W23" s="78" t="n"/>
      <c r="X23" s="78" t="n"/>
      <c r="Y23" s="78" t="n"/>
      <c r="Z23" s="11" t="n"/>
      <c r="AA23" s="11" t="n"/>
      <c r="AB23" s="16" t="n"/>
      <c r="AC23" s="78" t="n"/>
      <c r="AD23" s="78" t="n"/>
      <c r="AE23" s="78" t="n"/>
      <c r="AF23" s="78" t="n"/>
      <c r="AG23" s="11" t="n"/>
      <c r="AH23" s="11" t="n"/>
      <c r="AI23" s="10" t="n"/>
      <c r="AJ23" s="78">
        <f>IF(COUNT(E23:AI23)=0,"",COUNT(E23:AI23))</f>
        <v/>
      </c>
      <c r="AK23" s="78">
        <f>IF(COUNT(E23:AI23)=0,"",SUM(E23:AI23))</f>
        <v/>
      </c>
    </row>
    <row r="24" ht="15" customHeight="1" thickBot="1">
      <c r="A24" s="78" t="n">
        <v>6</v>
      </c>
      <c r="B24" s="26" t="inlineStr">
        <is>
          <t>Мелибойев  Лукмон Файзуллаевич</t>
        </is>
      </c>
      <c r="C24" s="20" t="inlineStr">
        <is>
          <t>Инженер ТБ</t>
        </is>
      </c>
      <c r="D24" s="19" t="inlineStr">
        <is>
          <t>Бошқарув апарати мутахассиси</t>
        </is>
      </c>
      <c r="E24" s="11" t="n"/>
      <c r="F24" s="11" t="n"/>
      <c r="G24" s="78" t="n"/>
      <c r="H24" s="78" t="n"/>
      <c r="I24" s="78" t="n"/>
      <c r="J24" s="78" t="n"/>
      <c r="K24" s="78" t="n"/>
      <c r="L24" s="11" t="n"/>
      <c r="M24" s="11" t="n"/>
      <c r="N24" s="78" t="n"/>
      <c r="O24" s="78" t="n"/>
      <c r="P24" s="78" t="n"/>
      <c r="Q24" s="78" t="n"/>
      <c r="R24" s="78" t="n"/>
      <c r="S24" s="11" t="n"/>
      <c r="T24" s="11" t="n"/>
      <c r="U24" s="16" t="n"/>
      <c r="V24" s="78" t="n"/>
      <c r="W24" s="78" t="n"/>
      <c r="X24" s="78" t="n"/>
      <c r="Y24" s="78" t="n"/>
      <c r="Z24" s="11" t="n"/>
      <c r="AA24" s="11" t="n"/>
      <c r="AB24" s="16" t="n"/>
      <c r="AC24" s="78" t="n"/>
      <c r="AD24" s="78" t="n"/>
      <c r="AE24" s="78" t="n"/>
      <c r="AF24" s="78" t="n"/>
      <c r="AG24" s="11" t="n"/>
      <c r="AH24" s="11" t="n"/>
      <c r="AI24" s="10" t="n"/>
      <c r="AJ24" s="78">
        <f>IF(COUNT(E24:AI24)=0,"",COUNT(E24:AI24))</f>
        <v/>
      </c>
      <c r="AK24" s="78">
        <f>IF(COUNT(E24:AI24)=0,"",SUM(E24:AI24))</f>
        <v/>
      </c>
    </row>
    <row r="25" ht="16.5" customHeight="1" thickBot="1">
      <c r="A25" s="78" t="n">
        <v>7</v>
      </c>
      <c r="B25" s="26" t="inlineStr">
        <is>
          <t>Хакбердиев Шахзод Фарход угли</t>
        </is>
      </c>
      <c r="C25" s="20" t="inlineStr">
        <is>
          <t>Омбор мудири-механик</t>
        </is>
      </c>
      <c r="D25" s="19" t="inlineStr">
        <is>
          <t>Бошқарув апарати мутахассиси</t>
        </is>
      </c>
      <c r="E25" s="11" t="n"/>
      <c r="F25" s="11" t="n"/>
      <c r="G25" s="78" t="n"/>
      <c r="H25" s="78" t="n"/>
      <c r="I25" s="78" t="n"/>
      <c r="J25" s="78" t="n"/>
      <c r="K25" s="78" t="n"/>
      <c r="L25" s="11" t="n"/>
      <c r="M25" s="11" t="n"/>
      <c r="N25" s="78" t="n"/>
      <c r="O25" s="78" t="n"/>
      <c r="P25" s="78" t="n"/>
      <c r="Q25" s="78" t="n"/>
      <c r="R25" s="78" t="n"/>
      <c r="S25" s="11" t="n"/>
      <c r="T25" s="11" t="n"/>
      <c r="U25" s="16" t="n"/>
      <c r="V25" s="78" t="n"/>
      <c r="W25" s="78" t="n"/>
      <c r="X25" s="78" t="n"/>
      <c r="Y25" s="78" t="n"/>
      <c r="Z25" s="11" t="n"/>
      <c r="AA25" s="11" t="n"/>
      <c r="AB25" s="16" t="n"/>
      <c r="AC25" s="78" t="n"/>
      <c r="AD25" s="78" t="n"/>
      <c r="AE25" s="78" t="n"/>
      <c r="AF25" s="78" t="n"/>
      <c r="AG25" s="11" t="n"/>
      <c r="AH25" s="11" t="n"/>
      <c r="AI25" s="10" t="n"/>
      <c r="AJ25" s="78">
        <f>IF(COUNT(E25:AI25)=0,"",COUNT(E25:AI25))</f>
        <v/>
      </c>
      <c r="AK25" s="78">
        <f>IF(COUNT(E25:AI25)=0,"",SUM(E25:AI25))</f>
        <v/>
      </c>
    </row>
    <row r="26" ht="15.75" customHeight="1" thickBot="1">
      <c r="A26" s="78" t="n">
        <v>8</v>
      </c>
      <c r="B26" s="20" t="inlineStr">
        <is>
          <t>Холмирзоева  Дилобар  Тоир кизи</t>
        </is>
      </c>
      <c r="C26" s="20" t="inlineStr">
        <is>
          <t>Отдел кадр</t>
        </is>
      </c>
      <c r="D26" s="19" t="inlineStr">
        <is>
          <t>Бошқарув апарати мутахассиси</t>
        </is>
      </c>
      <c r="E26" s="11" t="n"/>
      <c r="F26" s="11" t="n"/>
      <c r="G26" s="78" t="n"/>
      <c r="H26" s="78" t="n"/>
      <c r="I26" s="78" t="n"/>
      <c r="J26" s="78" t="n"/>
      <c r="K26" s="78" t="n"/>
      <c r="L26" s="11" t="n"/>
      <c r="M26" s="11" t="n"/>
      <c r="N26" s="78" t="n"/>
      <c r="O26" s="78" t="n"/>
      <c r="P26" s="78" t="n"/>
      <c r="Q26" s="78" t="n"/>
      <c r="R26" s="78" t="n"/>
      <c r="S26" s="11" t="n"/>
      <c r="T26" s="11" t="n"/>
      <c r="U26" s="16" t="n"/>
      <c r="V26" s="78" t="n"/>
      <c r="W26" s="78" t="n"/>
      <c r="X26" s="78" t="n"/>
      <c r="Y26" s="78" t="n"/>
      <c r="Z26" s="11" t="n"/>
      <c r="AA26" s="11" t="n"/>
      <c r="AB26" s="16" t="n"/>
      <c r="AC26" s="78" t="n"/>
      <c r="AD26" s="78" t="n"/>
      <c r="AE26" s="78" t="n"/>
      <c r="AF26" s="78" t="n"/>
      <c r="AG26" s="11" t="n"/>
      <c r="AH26" s="11" t="n"/>
      <c r="AI26" s="10" t="n"/>
      <c r="AJ26" s="78">
        <f>IF(COUNT(E26:AI26)=0,"",COUNT(E26:AI26))</f>
        <v/>
      </c>
      <c r="AK26" s="78">
        <f>IF(COUNT(E26:AI26)=0,"",SUM(E26:AI26))</f>
        <v/>
      </c>
    </row>
    <row r="27" ht="13.5" customHeight="1" thickBot="1">
      <c r="A27" s="78" t="n">
        <v>9</v>
      </c>
      <c r="B27" s="28" t="inlineStr">
        <is>
          <t>Худойназаров Самандар Алижон ўғли</t>
        </is>
      </c>
      <c r="C27" s="20" t="inlineStr">
        <is>
          <t>Дастурчи</t>
        </is>
      </c>
      <c r="D27" s="19" t="inlineStr">
        <is>
          <t>Бошқарув апарати мутахассиси</t>
        </is>
      </c>
      <c r="E27" s="11" t="n"/>
      <c r="F27" s="11" t="n"/>
      <c r="G27" s="78" t="n"/>
      <c r="H27" s="78" t="n"/>
      <c r="I27" s="78" t="n"/>
      <c r="J27" s="78" t="n"/>
      <c r="K27" s="78" t="n"/>
      <c r="L27" s="11" t="n"/>
      <c r="M27" s="11" t="n"/>
      <c r="N27" s="78" t="n"/>
      <c r="O27" s="78" t="n"/>
      <c r="P27" s="78" t="n"/>
      <c r="Q27" s="78" t="n"/>
      <c r="R27" s="78" t="n"/>
      <c r="S27" s="11" t="n"/>
      <c r="T27" s="11" t="n"/>
      <c r="U27" s="16" t="n"/>
      <c r="V27" s="78" t="n"/>
      <c r="W27" s="78" t="n"/>
      <c r="X27" s="78" t="n"/>
      <c r="Y27" s="78" t="n"/>
      <c r="Z27" s="11" t="n"/>
      <c r="AA27" s="11" t="n"/>
      <c r="AB27" s="16" t="n"/>
      <c r="AC27" s="78" t="n"/>
      <c r="AD27" s="78" t="n"/>
      <c r="AE27" s="78" t="n"/>
      <c r="AF27" s="78" t="n"/>
      <c r="AG27" s="11" t="n"/>
      <c r="AH27" s="11" t="n"/>
      <c r="AI27" s="10" t="n"/>
      <c r="AJ27" s="78">
        <f>IF(COUNT(E27:AI27)=0,"",COUNT(E27:AI27))</f>
        <v/>
      </c>
      <c r="AK27" s="78">
        <f>IF(COUNT(E27:AI27)=0,"",SUM(E27:AI27))</f>
        <v/>
      </c>
    </row>
    <row r="28" ht="15" customHeight="1" thickBot="1">
      <c r="A28" s="78" t="n">
        <v>10</v>
      </c>
      <c r="B28" s="27" t="inlineStr">
        <is>
          <t>Бобоев Илхом Абдукаримов</t>
        </is>
      </c>
      <c r="C28" s="20" t="inlineStr">
        <is>
          <t>Цех устаси №1</t>
        </is>
      </c>
      <c r="D28" s="19" t="inlineStr">
        <is>
          <t>Бошқарув апарати мутахассиси</t>
        </is>
      </c>
      <c r="E28" s="11" t="n"/>
      <c r="F28" s="11" t="n"/>
      <c r="G28" s="78" t="n"/>
      <c r="H28" s="78" t="n"/>
      <c r="I28" s="78" t="n"/>
      <c r="J28" s="78" t="n"/>
      <c r="K28" s="78" t="n"/>
      <c r="L28" s="11" t="n"/>
      <c r="M28" s="11" t="n"/>
      <c r="N28" s="78" t="n"/>
      <c r="O28" s="78" t="n"/>
      <c r="P28" s="78" t="n"/>
      <c r="Q28" s="78" t="n"/>
      <c r="R28" s="78" t="n"/>
      <c r="S28" s="11" t="n"/>
      <c r="T28" s="11" t="n"/>
      <c r="U28" s="78" t="n"/>
      <c r="V28" s="78" t="n"/>
      <c r="W28" s="78" t="n"/>
      <c r="X28" s="78" t="n"/>
      <c r="Y28" s="78" t="n"/>
      <c r="Z28" s="11" t="n"/>
      <c r="AA28" s="11" t="n"/>
      <c r="AB28" s="16" t="n"/>
      <c r="AC28" s="78" t="n"/>
      <c r="AD28" s="78" t="n"/>
      <c r="AE28" s="78" t="n"/>
      <c r="AF28" s="78" t="n"/>
      <c r="AG28" s="11" t="n"/>
      <c r="AH28" s="11" t="n"/>
      <c r="AI28" s="10" t="n"/>
      <c r="AJ28" s="78">
        <f>IF(COUNT(E28:AI28)=0,"",COUNT(E28:AI28))</f>
        <v/>
      </c>
      <c r="AK28" s="78">
        <f>IF(COUNT(E28:AI28)=0,"",SUM(E28:AI28))</f>
        <v/>
      </c>
    </row>
    <row r="29" ht="15.75" customHeight="1" thickBot="1">
      <c r="A29" s="78" t="n">
        <v>11</v>
      </c>
      <c r="B29" s="26" t="inlineStr">
        <is>
          <t>Ашурова Юлдузхон</t>
        </is>
      </c>
      <c r="C29" s="20" t="inlineStr">
        <is>
          <t>Ошпаз</t>
        </is>
      </c>
      <c r="D29" s="19" t="inlineStr">
        <is>
          <t>Хизмат кўрсатиш бўлими</t>
        </is>
      </c>
      <c r="E29" s="11" t="n"/>
      <c r="F29" s="11" t="n"/>
      <c r="G29" s="78" t="n"/>
      <c r="H29" s="78" t="n"/>
      <c r="I29" s="78" t="n"/>
      <c r="J29" s="78" t="n"/>
      <c r="K29" s="78" t="n"/>
      <c r="L29" s="11" t="n"/>
      <c r="M29" s="11" t="n"/>
      <c r="N29" s="78" t="n"/>
      <c r="O29" s="78" t="n"/>
      <c r="P29" s="78" t="n"/>
      <c r="Q29" s="78" t="n"/>
      <c r="R29" s="78" t="n"/>
      <c r="S29" s="11" t="n"/>
      <c r="T29" s="11" t="n"/>
      <c r="U29" s="16" t="n"/>
      <c r="V29" s="78" t="n"/>
      <c r="W29" s="78" t="n"/>
      <c r="X29" s="78" t="n"/>
      <c r="Y29" s="78" t="n"/>
      <c r="Z29" s="11" t="n"/>
      <c r="AA29" s="11" t="n"/>
      <c r="AB29" s="16" t="n"/>
      <c r="AC29" s="78" t="n"/>
      <c r="AD29" s="78" t="n"/>
      <c r="AE29" s="78" t="n"/>
      <c r="AF29" s="78" t="n"/>
      <c r="AG29" s="11" t="n"/>
      <c r="AH29" s="11" t="n"/>
      <c r="AI29" s="10" t="n"/>
      <c r="AJ29" s="78">
        <f>IF(COUNT(E29:AI29)=0,"",COUNT(E29:AI29))</f>
        <v/>
      </c>
      <c r="AK29" s="78">
        <f>IF(COUNT(E29:AI29)=0,"",SUM(E29:AI29))</f>
        <v/>
      </c>
    </row>
    <row r="30" ht="17.25" customHeight="1" thickBot="1">
      <c r="A30" s="78" t="n">
        <v>12</v>
      </c>
      <c r="B30" s="26" t="inlineStr">
        <is>
          <t>Рахматуллаева Шарифа  Мингбобоевна</t>
        </is>
      </c>
      <c r="C30" s="20" t="inlineStr">
        <is>
          <t>Фаррош</t>
        </is>
      </c>
      <c r="D30" s="19" t="inlineStr">
        <is>
          <t>Хизмат кўрсатиш бўлими</t>
        </is>
      </c>
      <c r="E30" s="11" t="n"/>
      <c r="F30" s="11" t="n"/>
      <c r="G30" s="78" t="n"/>
      <c r="H30" s="11" t="n"/>
      <c r="I30" s="78" t="n"/>
      <c r="J30" s="11" t="n"/>
      <c r="K30" s="78" t="n"/>
      <c r="L30" s="11" t="n"/>
      <c r="M30" s="11" t="n"/>
      <c r="N30" s="78" t="n"/>
      <c r="O30" s="11" t="n"/>
      <c r="P30" s="78" t="n"/>
      <c r="Q30" s="11" t="n"/>
      <c r="R30" s="78" t="n"/>
      <c r="S30" s="11" t="n"/>
      <c r="T30" s="11" t="n"/>
      <c r="U30" s="16" t="n"/>
      <c r="V30" s="11" t="n"/>
      <c r="W30" s="78" t="n"/>
      <c r="X30" s="11" t="n"/>
      <c r="Y30" s="78" t="n"/>
      <c r="Z30" s="11" t="n"/>
      <c r="AA30" s="11" t="n"/>
      <c r="AB30" s="16" t="n"/>
      <c r="AC30" s="11" t="n"/>
      <c r="AD30" s="78" t="n"/>
      <c r="AE30" s="11" t="n"/>
      <c r="AF30" s="78" t="n"/>
      <c r="AG30" s="11" t="n"/>
      <c r="AH30" s="11" t="n"/>
      <c r="AI30" s="10" t="n"/>
      <c r="AJ30" s="78">
        <f>IF(COUNT(E30:AI30)=0,"",COUNT(E30:AI30))</f>
        <v/>
      </c>
      <c r="AK30" s="78">
        <f>IF(COUNT(E30:AI30)=0,"",SUM(E30:AI30))</f>
        <v/>
      </c>
    </row>
    <row r="31" ht="16.5" customHeight="1" thickBot="1">
      <c r="A31" s="78" t="n">
        <v>13</v>
      </c>
      <c r="B31" s="26" t="inlineStr">
        <is>
          <t>Нозимов Исматилло  Нормуродович</t>
        </is>
      </c>
      <c r="C31" s="20" t="inlineStr">
        <is>
          <t xml:space="preserve">Буйокчи сувокчи </t>
        </is>
      </c>
      <c r="D31" s="19" t="inlineStr">
        <is>
          <t>Хизмат кўрсатиш бўлими</t>
        </is>
      </c>
      <c r="E31" s="11" t="n"/>
      <c r="F31" s="11" t="n"/>
      <c r="G31" s="78" t="n"/>
      <c r="H31" s="78" t="n"/>
      <c r="I31" s="78" t="n"/>
      <c r="J31" s="78" t="n"/>
      <c r="K31" s="78" t="n"/>
      <c r="L31" s="11" t="n"/>
      <c r="M31" s="11" t="n"/>
      <c r="N31" s="78" t="n"/>
      <c r="O31" s="78" t="n"/>
      <c r="P31" s="78" t="n"/>
      <c r="Q31" s="78" t="n"/>
      <c r="R31" s="78" t="n"/>
      <c r="S31" s="11" t="n"/>
      <c r="T31" s="11" t="n"/>
      <c r="U31" s="16" t="n"/>
      <c r="V31" s="78" t="n"/>
      <c r="W31" s="78" t="n"/>
      <c r="X31" s="78" t="n"/>
      <c r="Y31" s="78" t="n"/>
      <c r="Z31" s="11" t="n"/>
      <c r="AA31" s="11" t="n"/>
      <c r="AB31" s="16" t="n"/>
      <c r="AC31" s="78" t="n"/>
      <c r="AD31" s="78" t="n"/>
      <c r="AE31" s="78" t="n"/>
      <c r="AF31" s="78" t="n"/>
      <c r="AG31" s="11" t="n"/>
      <c r="AH31" s="11" t="n"/>
      <c r="AI31" s="10" t="n"/>
      <c r="AJ31" s="78">
        <f>IF(COUNT(E31:AI31)=0,"",COUNT(E31:AI31))</f>
        <v/>
      </c>
      <c r="AK31" s="78">
        <f>IF(COUNT(E31:AI31)=0,"",SUM(E31:AI31))</f>
        <v/>
      </c>
    </row>
    <row r="32" ht="15.75" customHeight="1" thickBot="1">
      <c r="A32" s="78" t="n">
        <v>14</v>
      </c>
      <c r="B32" s="25" t="inlineStr">
        <is>
          <t>Шарипов Абдумалик Гапарович</t>
        </is>
      </c>
      <c r="C32" s="20" t="inlineStr">
        <is>
          <t>Электромонтёр</t>
        </is>
      </c>
      <c r="D32" s="19" t="inlineStr">
        <is>
          <t>Бош механик бўлими</t>
        </is>
      </c>
      <c r="E32" s="11" t="n"/>
      <c r="F32" s="11" t="n"/>
      <c r="G32" s="78" t="n"/>
      <c r="H32" s="78" t="n"/>
      <c r="I32" s="78" t="n"/>
      <c r="J32" s="78" t="n"/>
      <c r="K32" s="78" t="n"/>
      <c r="L32" s="11" t="n"/>
      <c r="M32" s="11" t="n"/>
      <c r="N32" s="78" t="n"/>
      <c r="O32" s="78" t="n"/>
      <c r="P32" s="78" t="n"/>
      <c r="Q32" s="78" t="n"/>
      <c r="R32" s="78" t="n"/>
      <c r="S32" s="11" t="n"/>
      <c r="T32" s="11" t="n"/>
      <c r="U32" s="16" t="n"/>
      <c r="V32" s="78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0" t="n"/>
      <c r="AJ32" s="78">
        <f>IF(COUNT(E32:AI32)=0,"",COUNT(E32:AI32))</f>
        <v/>
      </c>
      <c r="AK32" s="78">
        <f>IF(COUNT(E32:AI32)=0,"",SUM(E32:AI32))</f>
        <v/>
      </c>
    </row>
    <row r="33" ht="15.75" customHeight="1" thickBot="1">
      <c r="A33" s="78" t="n">
        <v>15</v>
      </c>
      <c r="B33" s="25" t="inlineStr">
        <is>
          <t>Бабаев Собир Ниёзмуродович</t>
        </is>
      </c>
      <c r="C33" s="20" t="inlineStr">
        <is>
          <t>Хайдовчи (Булдозер)</t>
        </is>
      </c>
      <c r="D33" s="19" t="inlineStr">
        <is>
          <t>Бош механик бўлими</t>
        </is>
      </c>
      <c r="E33" s="11" t="n"/>
      <c r="F33" s="11" t="n"/>
      <c r="G33" s="78" t="n"/>
      <c r="H33" s="78" t="n"/>
      <c r="I33" s="78" t="n"/>
      <c r="J33" s="78" t="n"/>
      <c r="K33" s="78" t="n"/>
      <c r="L33" s="11" t="n"/>
      <c r="M33" s="11" t="n"/>
      <c r="N33" s="78" t="n"/>
      <c r="O33" s="78" t="n"/>
      <c r="P33" s="78" t="n"/>
      <c r="Q33" s="78" t="n"/>
      <c r="R33" s="78" t="n"/>
      <c r="S33" s="11" t="n"/>
      <c r="T33" s="11" t="n"/>
      <c r="U33" s="16" t="n"/>
      <c r="V33" s="78" t="n"/>
      <c r="W33" s="78" t="n"/>
      <c r="X33" s="78" t="n"/>
      <c r="Y33" s="78" t="n"/>
      <c r="Z33" s="11" t="n"/>
      <c r="AA33" s="11" t="n"/>
      <c r="AB33" s="16" t="n"/>
      <c r="AC33" s="78" t="n"/>
      <c r="AD33" s="78" t="n"/>
      <c r="AE33" s="78" t="n"/>
      <c r="AF33" s="78" t="n"/>
      <c r="AG33" s="11" t="n"/>
      <c r="AH33" s="11" t="n"/>
      <c r="AI33" s="10" t="n"/>
      <c r="AJ33" s="78">
        <f>IF(COUNT(E33:AI33)=0,"",COUNT(E33:AI33))</f>
        <v/>
      </c>
      <c r="AK33" s="78">
        <f>IF(COUNT(E33:AI33)=0,"",SUM(E33:AI33))</f>
        <v/>
      </c>
    </row>
    <row r="34" ht="15.75" customHeight="1" thickBot="1">
      <c r="A34" s="78" t="n">
        <v>16</v>
      </c>
      <c r="B34" s="25" t="inlineStr">
        <is>
          <t>Чориев Туракул  Аллоёрович</t>
        </is>
      </c>
      <c r="C34" s="20" t="inlineStr">
        <is>
          <t>Хайдовчи (Тягач)</t>
        </is>
      </c>
      <c r="D34" s="19" t="inlineStr">
        <is>
          <t>Бош механик бўлими</t>
        </is>
      </c>
      <c r="E34" s="11" t="n"/>
      <c r="F34" s="11" t="n"/>
      <c r="G34" s="78" t="n"/>
      <c r="H34" s="78" t="n"/>
      <c r="I34" s="78" t="n"/>
      <c r="J34" s="78" t="n"/>
      <c r="K34" s="78" t="n"/>
      <c r="L34" s="11" t="n"/>
      <c r="M34" s="11" t="n"/>
      <c r="N34" s="78" t="n"/>
      <c r="O34" s="78" t="n"/>
      <c r="P34" s="78" t="n"/>
      <c r="Q34" s="78" t="n"/>
      <c r="R34" s="78" t="n"/>
      <c r="S34" s="11" t="n"/>
      <c r="T34" s="11" t="n"/>
      <c r="U34" s="16" t="n"/>
      <c r="V34" s="78" t="n"/>
      <c r="W34" s="78" t="n"/>
      <c r="X34" s="78" t="n"/>
      <c r="Y34" s="78" t="n"/>
      <c r="Z34" s="11" t="n"/>
      <c r="AA34" s="11" t="n"/>
      <c r="AB34" s="16" t="n"/>
      <c r="AC34" s="78" t="n"/>
      <c r="AD34" s="78" t="n"/>
      <c r="AE34" s="78" t="n"/>
      <c r="AF34" s="78" t="n"/>
      <c r="AG34" s="11" t="n"/>
      <c r="AH34" s="11" t="n"/>
      <c r="AI34" s="10" t="n"/>
      <c r="AJ34" s="78">
        <f>IF(COUNT(E34:AI34)=0,"",COUNT(E34:AI34))</f>
        <v/>
      </c>
      <c r="AK34" s="78">
        <f>IF(COUNT(E34:AI34)=0,"",SUM(E34:AI34))</f>
        <v/>
      </c>
    </row>
    <row r="35" ht="15" customHeight="1" thickBot="1">
      <c r="A35" s="78" t="n">
        <v>17</v>
      </c>
      <c r="B35" s="25" t="inlineStr">
        <is>
          <t>Муродуллаев Шухрат Асатулло угли</t>
        </is>
      </c>
      <c r="C35" s="20" t="inlineStr">
        <is>
          <t>Хайдовчи (Самосвал)</t>
        </is>
      </c>
      <c r="D35" s="19" t="inlineStr">
        <is>
          <t>Бош механик бўлими</t>
        </is>
      </c>
      <c r="E35" s="11" t="n"/>
      <c r="F35" s="11" t="n"/>
      <c r="G35" s="78" t="n"/>
      <c r="H35" s="78" t="n"/>
      <c r="I35" s="78" t="n"/>
      <c r="J35" s="78" t="n"/>
      <c r="K35" s="78" t="n"/>
      <c r="L35" s="11" t="n"/>
      <c r="M35" s="11" t="n"/>
      <c r="N35" s="78" t="n"/>
      <c r="O35" s="78" t="n"/>
      <c r="P35" s="78" t="n"/>
      <c r="Q35" s="78" t="n"/>
      <c r="R35" s="78" t="n"/>
      <c r="S35" s="11" t="n"/>
      <c r="T35" s="11" t="n"/>
      <c r="U35" s="16" t="n"/>
      <c r="V35" s="78" t="n"/>
      <c r="W35" s="78" t="n"/>
      <c r="X35" s="78" t="n"/>
      <c r="Y35" s="78" t="n"/>
      <c r="Z35" s="11" t="n"/>
      <c r="AA35" s="11" t="n"/>
      <c r="AB35" s="16" t="n"/>
      <c r="AC35" s="78" t="n"/>
      <c r="AD35" s="78" t="n"/>
      <c r="AE35" s="78" t="n"/>
      <c r="AF35" s="78" t="n"/>
      <c r="AG35" s="11" t="n"/>
      <c r="AH35" s="11" t="n"/>
      <c r="AI35" s="10" t="n"/>
      <c r="AJ35" s="78">
        <f>IF(COUNT(E35:AI35)=0,"",COUNT(E35:AI35))</f>
        <v/>
      </c>
      <c r="AK35" s="78">
        <f>IF(COUNT(E35:AI35)=0,"",SUM(E35:AI35))</f>
        <v/>
      </c>
    </row>
    <row r="36" ht="15.75" customHeight="1" thickBot="1">
      <c r="A36" s="78" t="n">
        <v>18</v>
      </c>
      <c r="B36" s="25" t="inlineStr">
        <is>
          <t xml:space="preserve">Тошев Абдулхай Нарзуллаевич </t>
        </is>
      </c>
      <c r="C36" s="20" t="inlineStr">
        <is>
          <t>Электрпайвандчи</t>
        </is>
      </c>
      <c r="D36" s="19" t="inlineStr">
        <is>
          <t>Бош механик бўлими</t>
        </is>
      </c>
      <c r="E36" s="11" t="n"/>
      <c r="F36" s="11" t="n"/>
      <c r="G36" s="78" t="n"/>
      <c r="H36" s="78" t="n"/>
      <c r="I36" s="78" t="n"/>
      <c r="J36" s="78" t="n"/>
      <c r="K36" s="78" t="n"/>
      <c r="L36" s="11" t="n"/>
      <c r="M36" s="11" t="n"/>
      <c r="N36" s="78" t="n"/>
      <c r="O36" s="78" t="n"/>
      <c r="P36" s="78" t="n"/>
      <c r="Q36" s="78" t="n"/>
      <c r="R36" s="78" t="n"/>
      <c r="S36" s="11" t="n"/>
      <c r="T36" s="11" t="n"/>
      <c r="U36" s="16" t="n"/>
      <c r="V36" s="78" t="n"/>
      <c r="W36" s="78" t="n"/>
      <c r="X36" s="78" t="n"/>
      <c r="Y36" s="78" t="n"/>
      <c r="Z36" s="11" t="n"/>
      <c r="AA36" s="11" t="n"/>
      <c r="AB36" s="16" t="n"/>
      <c r="AC36" s="78" t="n"/>
      <c r="AD36" s="78" t="n"/>
      <c r="AE36" s="78" t="n"/>
      <c r="AF36" s="78" t="n"/>
      <c r="AG36" s="11" t="n"/>
      <c r="AH36" s="11" t="n"/>
      <c r="AI36" s="10" t="n"/>
      <c r="AJ36" s="78">
        <f>IF(COUNT(E36:AI36)=0,"",COUNT(E36:AI36))</f>
        <v/>
      </c>
      <c r="AK36" s="78">
        <f>IF(COUNT(E36:AI36)=0,"",SUM(E36:AI36))</f>
        <v/>
      </c>
    </row>
    <row r="37" ht="18" customHeight="1" thickBot="1">
      <c r="A37" s="78" t="n">
        <v>19</v>
      </c>
      <c r="B37" s="26" t="inlineStr">
        <is>
          <t>Рахимов Шахриддин  Насриддинович</t>
        </is>
      </c>
      <c r="C37" s="20" t="inlineStr">
        <is>
          <t>Котёлщик</t>
        </is>
      </c>
      <c r="D37" s="19" t="inlineStr">
        <is>
          <t xml:space="preserve">Ишлаб чиқариш бўлими </t>
        </is>
      </c>
      <c r="E37" s="11" t="n"/>
      <c r="F37" s="11" t="n"/>
      <c r="G37" s="78" t="n"/>
      <c r="H37" s="78" t="n"/>
      <c r="I37" s="78" t="n"/>
      <c r="J37" s="78" t="n"/>
      <c r="K37" s="78" t="n"/>
      <c r="L37" s="11" t="n"/>
      <c r="M37" s="11" t="n"/>
      <c r="N37" s="78" t="n"/>
      <c r="O37" s="78" t="n"/>
      <c r="P37" s="78" t="n"/>
      <c r="Q37" s="78" t="n"/>
      <c r="R37" s="78" t="n"/>
      <c r="S37" s="11" t="n"/>
      <c r="T37" s="11" t="n"/>
      <c r="U37" s="16" t="n"/>
      <c r="V37" s="78" t="n"/>
      <c r="W37" s="78" t="n"/>
      <c r="X37" s="78" t="n"/>
      <c r="Y37" s="78" t="n"/>
      <c r="Z37" s="11" t="n"/>
      <c r="AA37" s="11" t="n"/>
      <c r="AB37" s="16" t="n"/>
      <c r="AC37" s="78" t="n"/>
      <c r="AD37" s="78" t="n"/>
      <c r="AE37" s="78" t="n"/>
      <c r="AF37" s="78" t="n"/>
      <c r="AG37" s="11" t="n"/>
      <c r="AH37" s="11" t="n"/>
      <c r="AI37" s="10" t="n"/>
      <c r="AJ37" s="78">
        <f>IF(COUNT(E37:AI37)=0,"",COUNT(E37:AI37))</f>
        <v/>
      </c>
      <c r="AK37" s="78">
        <f>IF(COUNT(E37:AI37)=0,"",SUM(E37:AI37))</f>
        <v/>
      </c>
    </row>
    <row r="38" ht="15" customHeight="1" thickBot="1">
      <c r="A38" s="78" t="n">
        <v>20</v>
      </c>
      <c r="B38" s="26" t="inlineStr">
        <is>
          <t>Рахимов Ахлиддин  Насриддинович</t>
        </is>
      </c>
      <c r="C38" s="20" t="inlineStr">
        <is>
          <t>Компрессорчи</t>
        </is>
      </c>
      <c r="D38" s="19" t="inlineStr">
        <is>
          <t xml:space="preserve">Ишлаб чиқариш бўлими </t>
        </is>
      </c>
      <c r="E38" s="11" t="n"/>
      <c r="F38" s="11" t="n"/>
      <c r="G38" s="78" t="n"/>
      <c r="H38" s="78" t="n"/>
      <c r="I38" s="78" t="n"/>
      <c r="J38" s="78" t="n"/>
      <c r="K38" s="78" t="n"/>
      <c r="L38" s="11" t="n"/>
      <c r="M38" s="11" t="n"/>
      <c r="N38" s="78" t="n"/>
      <c r="O38" s="78" t="n"/>
      <c r="P38" s="78" t="n"/>
      <c r="Q38" s="78" t="n"/>
      <c r="R38" s="78" t="n"/>
      <c r="S38" s="11" t="n"/>
      <c r="T38" s="11" t="n"/>
      <c r="U38" s="16" t="n"/>
      <c r="V38" s="78" t="n"/>
      <c r="W38" s="78" t="n"/>
      <c r="X38" s="78" t="n"/>
      <c r="Y38" s="78" t="n"/>
      <c r="Z38" s="11" t="n"/>
      <c r="AA38" s="11" t="n"/>
      <c r="AB38" s="16" t="n"/>
      <c r="AC38" s="78" t="n"/>
      <c r="AD38" s="78" t="n"/>
      <c r="AE38" s="78" t="n"/>
      <c r="AF38" s="78" t="n"/>
      <c r="AG38" s="11" t="n"/>
      <c r="AH38" s="11" t="n"/>
      <c r="AI38" s="10" t="n"/>
      <c r="AJ38" s="78">
        <f>IF(COUNT(E38:AI38)=0,"",COUNT(E38:AI38))</f>
        <v/>
      </c>
      <c r="AK38" s="78">
        <f>IF(COUNT(E38:AI38)=0,"",SUM(E38:AI38))</f>
        <v/>
      </c>
    </row>
    <row r="39" ht="15" customHeight="1" thickBot="1">
      <c r="A39" s="78" t="n">
        <v>21</v>
      </c>
      <c r="B39" s="26" t="inlineStr">
        <is>
          <t>Султонов Абдуфаттох Назарович</t>
        </is>
      </c>
      <c r="C39" s="20" t="inlineStr">
        <is>
          <t>БСУ оператори</t>
        </is>
      </c>
      <c r="D39" s="19" t="inlineStr">
        <is>
          <t xml:space="preserve">Ишлаб чиқариш бўлими </t>
        </is>
      </c>
      <c r="E39" s="11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78">
        <f>IF(COUNT(E39:AI39)=0,"",COUNT(E39:AI39))</f>
        <v/>
      </c>
      <c r="AK39" s="78">
        <f>IF(COUNT(E39:AI39)=0,"",SUM(E39:AI39))</f>
        <v/>
      </c>
    </row>
    <row r="40" ht="15.75" customHeight="1" thickBot="1">
      <c r="A40" s="78" t="n">
        <v>22</v>
      </c>
      <c r="B40" s="26" t="inlineStr">
        <is>
          <t>Султонов Нуриддин Қурбоналиевич</t>
        </is>
      </c>
      <c r="C40" s="20" t="inlineStr">
        <is>
          <t>БСУ оператори</t>
        </is>
      </c>
      <c r="D40" s="19" t="inlineStr">
        <is>
          <t xml:space="preserve">Ишлаб чиқариш бўлими </t>
        </is>
      </c>
      <c r="E40" s="11" t="n"/>
      <c r="F40" s="11" t="n"/>
      <c r="G40" s="78" t="n"/>
      <c r="H40" s="78" t="n"/>
      <c r="I40" s="78" t="n"/>
      <c r="J40" s="78" t="n"/>
      <c r="K40" s="78" t="n"/>
      <c r="L40" s="11" t="n"/>
      <c r="M40" s="11" t="n"/>
      <c r="N40" s="78" t="n"/>
      <c r="O40" s="78" t="n"/>
      <c r="P40" s="78" t="n"/>
      <c r="Q40" s="78" t="n"/>
      <c r="R40" s="78" t="n"/>
      <c r="S40" s="11" t="n"/>
      <c r="T40" s="11" t="n"/>
      <c r="U40" s="16" t="n"/>
      <c r="V40" s="78" t="n"/>
      <c r="W40" s="16" t="n"/>
      <c r="X40" s="78" t="n"/>
      <c r="Y40" s="78" t="n"/>
      <c r="Z40" s="11" t="n"/>
      <c r="AA40" s="11" t="n"/>
      <c r="AB40" s="16" t="n"/>
      <c r="AC40" s="78" t="n"/>
      <c r="AD40" s="78" t="n"/>
      <c r="AE40" s="78" t="n"/>
      <c r="AF40" s="11" t="n"/>
      <c r="AG40" s="11" t="n"/>
      <c r="AH40" s="11" t="n"/>
      <c r="AI40" s="10" t="n"/>
      <c r="AJ40" s="78">
        <f>IF(COUNT(E40:AI40)=0,"",COUNT(E40:AI40))</f>
        <v/>
      </c>
      <c r="AK40" s="78">
        <f>IF(COUNT(E40:AI40)=0,"",SUM(E40:AI40))</f>
        <v/>
      </c>
    </row>
    <row r="41" ht="16.5" customHeight="1" thickBot="1">
      <c r="A41" s="78" t="n">
        <v>23</v>
      </c>
      <c r="B41" s="21" t="inlineStr">
        <is>
          <t xml:space="preserve"> Мўминов Жўрабек Тургунович</t>
        </is>
      </c>
      <c r="C41" s="20" t="inlineStr">
        <is>
          <t>БСУ оператори</t>
        </is>
      </c>
      <c r="D41" s="19" t="inlineStr">
        <is>
          <t xml:space="preserve">Ишлаб чиқариш бўлими </t>
        </is>
      </c>
      <c r="E41" s="11" t="n"/>
      <c r="F41" s="11" t="n"/>
      <c r="G41" s="78" t="n"/>
      <c r="H41" s="78" t="n"/>
      <c r="I41" s="78" t="n"/>
      <c r="J41" s="78" t="n"/>
      <c r="K41" s="78" t="n"/>
      <c r="L41" s="11" t="n"/>
      <c r="M41" s="11" t="n"/>
      <c r="N41" s="78" t="n"/>
      <c r="O41" s="11" t="n"/>
      <c r="P41" s="78" t="n"/>
      <c r="Q41" s="78" t="n"/>
      <c r="R41" s="78" t="n"/>
      <c r="S41" s="11" t="n"/>
      <c r="T41" s="11" t="n"/>
      <c r="U41" s="16" t="n"/>
      <c r="V41" s="78" t="n"/>
      <c r="W41" s="78" t="n"/>
      <c r="X41" s="78" t="n"/>
      <c r="Y41" s="78" t="n"/>
      <c r="Z41" s="11" t="n"/>
      <c r="AA41" s="11" t="n"/>
      <c r="AB41" s="16" t="n"/>
      <c r="AC41" s="78" t="n"/>
      <c r="AD41" s="78" t="n"/>
      <c r="AE41" s="78" t="n"/>
      <c r="AF41" s="78" t="n"/>
      <c r="AG41" s="11" t="n"/>
      <c r="AH41" s="11" t="n"/>
      <c r="AI41" s="10" t="n"/>
      <c r="AJ41" s="78">
        <f>IF(COUNT(E41:AI41)=0,"",COUNT(E41:AI41))</f>
        <v/>
      </c>
      <c r="AK41" s="78">
        <f>IF(COUNT(E41:AI41)=0,"",SUM(E41:AI41))</f>
        <v/>
      </c>
    </row>
    <row r="42" ht="15.75" customHeight="1" thickBot="1">
      <c r="A42" s="78" t="n">
        <v>24</v>
      </c>
      <c r="B42" s="25" t="inlineStr">
        <is>
          <t>Каландаров Холмурод Холбобоевич</t>
        </is>
      </c>
      <c r="C42" s="20" t="inlineStr">
        <is>
          <t>Кран машинист</t>
        </is>
      </c>
      <c r="D42" s="19" t="inlineStr">
        <is>
          <t xml:space="preserve">Ишлаб чиқариш бўлими </t>
        </is>
      </c>
      <c r="E42" s="11" t="n"/>
      <c r="F42" s="11" t="n"/>
      <c r="G42" s="78" t="n"/>
      <c r="H42" s="16" t="n"/>
      <c r="I42" s="78" t="n"/>
      <c r="J42" s="11" t="n"/>
      <c r="K42" s="78" t="n"/>
      <c r="L42" s="11" t="n"/>
      <c r="M42" s="11" t="n"/>
      <c r="N42" s="78" t="n"/>
      <c r="O42" s="11" t="n"/>
      <c r="P42" s="11" t="n"/>
      <c r="Q42" s="11" t="n"/>
      <c r="R42" s="11" t="n"/>
      <c r="S42" s="11" t="n"/>
      <c r="T42" s="11" t="n"/>
      <c r="U42" s="16" t="n"/>
      <c r="V42" s="16" t="n"/>
      <c r="W42" s="78" t="n"/>
      <c r="X42" s="16" t="n"/>
      <c r="Y42" s="16" t="n"/>
      <c r="Z42" s="11" t="n"/>
      <c r="AA42" s="11" t="n"/>
      <c r="AB42" s="16" t="n"/>
      <c r="AC42" s="78" t="n"/>
      <c r="AD42" s="78" t="n"/>
      <c r="AE42" s="78" t="n"/>
      <c r="AF42" s="78" t="n"/>
      <c r="AG42" s="11" t="n"/>
      <c r="AH42" s="11" t="n"/>
      <c r="AI42" s="10" t="n"/>
      <c r="AJ42" s="78">
        <f>IF(COUNT(E42:AI42)=0,"",COUNT(E42:AI42))</f>
        <v/>
      </c>
      <c r="AK42" s="78">
        <f>IF(COUNT(E42:AI42)=0,"",SUM(E42:AI42))</f>
        <v/>
      </c>
    </row>
    <row r="43" ht="17.25" customHeight="1" thickBot="1">
      <c r="A43" s="78" t="n">
        <v>25</v>
      </c>
      <c r="B43" s="26" t="inlineStr">
        <is>
          <t>Ниёзов Сирожиддин Файзиддинович</t>
        </is>
      </c>
      <c r="C43" s="20" t="inlineStr">
        <is>
          <t>Кран машинист</t>
        </is>
      </c>
      <c r="D43" s="19" t="inlineStr">
        <is>
          <t xml:space="preserve">Ишлаб чиқариш бўлими </t>
        </is>
      </c>
      <c r="E43" s="11" t="n"/>
      <c r="F43" s="11" t="n"/>
      <c r="G43" s="78" t="n"/>
      <c r="H43" s="78" t="n"/>
      <c r="I43" s="78" t="n"/>
      <c r="J43" s="78" t="n"/>
      <c r="K43" s="78" t="n"/>
      <c r="L43" s="11" t="n"/>
      <c r="M43" s="11" t="n"/>
      <c r="N43" s="78" t="n"/>
      <c r="O43" s="78" t="n"/>
      <c r="P43" s="78" t="n"/>
      <c r="Q43" s="78" t="n"/>
      <c r="R43" s="78" t="n"/>
      <c r="S43" s="11" t="n"/>
      <c r="T43" s="11" t="n"/>
      <c r="U43" s="16" t="n"/>
      <c r="V43" s="78" t="n"/>
      <c r="W43" s="78" t="n"/>
      <c r="X43" s="16" t="n"/>
      <c r="Y43" s="78" t="n"/>
      <c r="Z43" s="11" t="n"/>
      <c r="AA43" s="11" t="n"/>
      <c r="AB43" s="16" t="n"/>
      <c r="AC43" s="78" t="n"/>
      <c r="AD43" s="78" t="n"/>
      <c r="AE43" s="78" t="n"/>
      <c r="AF43" s="78" t="n"/>
      <c r="AG43" s="11" t="n"/>
      <c r="AH43" s="11" t="n"/>
      <c r="AI43" s="10" t="n"/>
      <c r="AJ43" s="78">
        <f>IF(COUNT(E43:AI43)=0,"",COUNT(E43:AI43))</f>
        <v/>
      </c>
      <c r="AK43" s="78">
        <f>IF(COUNT(E43:AI43)=0,"",SUM(E43:AI43))</f>
        <v/>
      </c>
    </row>
    <row r="44" ht="15.75" customHeight="1" thickBot="1">
      <c r="A44" s="78" t="n">
        <v>26</v>
      </c>
      <c r="B44" s="26" t="inlineStr">
        <is>
          <t>Шодиев Иззат Саид ўғли</t>
        </is>
      </c>
      <c r="C44" s="20" t="inlineStr">
        <is>
          <t>Сварщик</t>
        </is>
      </c>
      <c r="D44" s="19" t="inlineStr">
        <is>
          <t xml:space="preserve">Ишлаб чиқариш бўлими </t>
        </is>
      </c>
      <c r="E44" s="11" t="n"/>
      <c r="F44" s="11" t="n"/>
      <c r="G44" s="78" t="n"/>
      <c r="H44" s="78" t="n"/>
      <c r="I44" s="78" t="n"/>
      <c r="J44" s="78" t="n"/>
      <c r="K44" s="78" t="n"/>
      <c r="L44" s="11" t="n"/>
      <c r="M44" s="11" t="n"/>
      <c r="N44" s="78" t="n"/>
      <c r="O44" s="78" t="n"/>
      <c r="P44" s="17" t="n"/>
      <c r="Q44" s="17" t="n"/>
      <c r="R44" s="78" t="n"/>
      <c r="S44" s="11" t="n"/>
      <c r="T44" s="11" t="n"/>
      <c r="U44" s="16" t="n"/>
      <c r="V44" s="78" t="n"/>
      <c r="W44" s="78" t="n"/>
      <c r="X44" s="78" t="n"/>
      <c r="Y44" s="78" t="n"/>
      <c r="Z44" s="11" t="n"/>
      <c r="AA44" s="11" t="n"/>
      <c r="AB44" s="16" t="n"/>
      <c r="AC44" s="11" t="n"/>
      <c r="AD44" s="78" t="n"/>
      <c r="AE44" s="78" t="n"/>
      <c r="AF44" s="78" t="n"/>
      <c r="AG44" s="11" t="n"/>
      <c r="AH44" s="11" t="n"/>
      <c r="AI44" s="10" t="n"/>
      <c r="AJ44" s="78">
        <f>IF(COUNT(E44:AI44)=0,"",COUNT(E44:AI44))</f>
        <v/>
      </c>
      <c r="AK44" s="78">
        <f>IF(COUNT(E44:AI44)=0,"",SUM(E44:AI44))</f>
        <v/>
      </c>
    </row>
    <row r="45" ht="15" customHeight="1" thickBot="1">
      <c r="A45" s="78" t="n">
        <v>27</v>
      </c>
      <c r="B45" s="26" t="inlineStr">
        <is>
          <t>Рўзиқулов Шахбоз Ҳусан ўғли</t>
        </is>
      </c>
      <c r="C45" s="20" t="inlineStr">
        <is>
          <t>Сварщик</t>
        </is>
      </c>
      <c r="D45" s="19" t="inlineStr">
        <is>
          <t xml:space="preserve">Ишлаб чиқариш бўлими </t>
        </is>
      </c>
      <c r="E45" s="11" t="n"/>
      <c r="F45" s="11" t="n"/>
      <c r="G45" s="78" t="n"/>
      <c r="H45" s="78" t="n"/>
      <c r="I45" s="78" t="n"/>
      <c r="J45" s="78" t="n"/>
      <c r="K45" s="78" t="n"/>
      <c r="L45" s="11" t="n"/>
      <c r="M45" s="11" t="n"/>
      <c r="N45" s="78" t="n"/>
      <c r="O45" s="78" t="n"/>
      <c r="P45" s="17" t="n"/>
      <c r="Q45" s="17" t="n"/>
      <c r="R45" s="78" t="n"/>
      <c r="S45" s="11" t="n"/>
      <c r="T45" s="11" t="n"/>
      <c r="U45" s="16" t="n"/>
      <c r="V45" s="78" t="n"/>
      <c r="W45" s="78" t="n"/>
      <c r="X45" s="78" t="n"/>
      <c r="Y45" s="78" t="n"/>
      <c r="Z45" s="11" t="n"/>
      <c r="AA45" s="11" t="n"/>
      <c r="AB45" s="16" t="n"/>
      <c r="AC45" s="78" t="n"/>
      <c r="AD45" s="78" t="n"/>
      <c r="AE45" s="78" t="n"/>
      <c r="AF45" s="78" t="n"/>
      <c r="AG45" s="11" t="n"/>
      <c r="AH45" s="11" t="n"/>
      <c r="AI45" s="10" t="n"/>
      <c r="AJ45" s="78">
        <f>IF(COUNT(E45:AI45)=0,"",COUNT(E45:AI45))</f>
        <v/>
      </c>
      <c r="AK45" s="78">
        <f>IF(COUNT(E45:AI45)=0,"",SUM(E45:AI45))</f>
        <v/>
      </c>
    </row>
    <row r="46" ht="13.5" customHeight="1" thickBot="1">
      <c r="A46" s="78" t="n">
        <v>28</v>
      </c>
      <c r="B46" s="25" t="inlineStr">
        <is>
          <t xml:space="preserve">Назиров Валижон Махамадиевич </t>
        </is>
      </c>
      <c r="C46" s="20" t="inlineStr">
        <is>
          <t>Сварщик</t>
        </is>
      </c>
      <c r="D46" s="19" t="inlineStr">
        <is>
          <t xml:space="preserve">Ишлаб чиқариш бўлими </t>
        </is>
      </c>
      <c r="E46" s="11" t="n"/>
      <c r="F46" s="11" t="n"/>
      <c r="G46" s="78" t="n"/>
      <c r="H46" s="78" t="n"/>
      <c r="I46" s="78" t="n"/>
      <c r="J46" s="78" t="n"/>
      <c r="K46" s="78" t="n"/>
      <c r="L46" s="11" t="n"/>
      <c r="M46" s="11" t="n"/>
      <c r="N46" s="78" t="n"/>
      <c r="O46" s="78" t="n"/>
      <c r="P46" s="78" t="n"/>
      <c r="Q46" s="78" t="n"/>
      <c r="R46" s="78" t="n"/>
      <c r="S46" s="11" t="n"/>
      <c r="T46" s="11" t="n"/>
      <c r="U46" s="16" t="n"/>
      <c r="V46" s="78" t="n"/>
      <c r="W46" s="78" t="n"/>
      <c r="X46" s="78" t="n"/>
      <c r="Y46" s="78" t="n"/>
      <c r="Z46" s="11" t="n"/>
      <c r="AA46" s="11" t="n"/>
      <c r="AB46" s="16" t="n"/>
      <c r="AC46" s="78" t="n"/>
      <c r="AD46" s="78" t="n"/>
      <c r="AE46" s="78" t="n"/>
      <c r="AF46" s="78" t="n"/>
      <c r="AG46" s="11" t="n"/>
      <c r="AH46" s="11" t="n"/>
      <c r="AI46" s="10" t="n"/>
      <c r="AJ46" s="78">
        <f>IF(COUNT(E46:AI46)=0,"",COUNT(E46:AI46))</f>
        <v/>
      </c>
      <c r="AK46" s="78">
        <f>IF(COUNT(E46:AI46)=0,"",SUM(E46:AI46))</f>
        <v/>
      </c>
    </row>
    <row r="47" ht="13.5" customHeight="1" thickBot="1">
      <c r="A47" s="78" t="n">
        <v>29</v>
      </c>
      <c r="B47" s="25" t="inlineStr">
        <is>
          <t>Каримов Абрулло  Исматович</t>
        </is>
      </c>
      <c r="C47" s="20" t="inlineStr">
        <is>
          <t>Сварщик</t>
        </is>
      </c>
      <c r="D47" s="19" t="inlineStr">
        <is>
          <t xml:space="preserve">Ишлаб чиқариш бўлими </t>
        </is>
      </c>
      <c r="E47" s="11" t="n"/>
      <c r="F47" s="11" t="n"/>
      <c r="G47" s="78" t="n"/>
      <c r="H47" s="78" t="n"/>
      <c r="I47" s="78" t="n"/>
      <c r="J47" s="78" t="n"/>
      <c r="K47" s="78" t="n"/>
      <c r="L47" s="11" t="n"/>
      <c r="M47" s="11" t="n"/>
      <c r="N47" s="78" t="n"/>
      <c r="O47" s="78" t="n"/>
      <c r="P47" s="78" t="n"/>
      <c r="Q47" s="78" t="n"/>
      <c r="R47" s="78" t="n"/>
      <c r="S47" s="11" t="n"/>
      <c r="T47" s="11" t="n"/>
      <c r="U47" s="16" t="n"/>
      <c r="V47" s="78" t="n"/>
      <c r="W47" s="78" t="n"/>
      <c r="X47" s="78" t="n"/>
      <c r="Y47" s="78" t="n"/>
      <c r="Z47" s="11" t="n"/>
      <c r="AA47" s="11" t="n"/>
      <c r="AB47" s="16" t="n"/>
      <c r="AC47" s="78" t="n"/>
      <c r="AD47" s="78" t="n"/>
      <c r="AE47" s="78" t="n"/>
      <c r="AF47" s="78" t="n"/>
      <c r="AG47" s="11" t="n"/>
      <c r="AH47" s="11" t="n"/>
      <c r="AI47" s="10" t="n"/>
      <c r="AJ47" s="78">
        <f>IF(COUNT(E47:AI47)=0,"",COUNT(E47:AI47))</f>
        <v/>
      </c>
      <c r="AK47" s="78">
        <f>IF(COUNT(E47:AI47)=0,"",SUM(E47:AI47))</f>
        <v/>
      </c>
    </row>
    <row r="48" ht="14.25" customHeight="1" thickBot="1">
      <c r="A48" s="78" t="n">
        <v>30</v>
      </c>
      <c r="B48" s="25" t="inlineStr">
        <is>
          <t>Худойдотов Бахтиёр Сафарович</t>
        </is>
      </c>
      <c r="C48" s="20" t="inlineStr">
        <is>
          <t>Сварщик</t>
        </is>
      </c>
      <c r="D48" s="19" t="inlineStr">
        <is>
          <t xml:space="preserve">Ишлаб чиқариш бўлими </t>
        </is>
      </c>
      <c r="E48" s="11" t="n"/>
      <c r="F48" s="11" t="n"/>
      <c r="G48" s="78" t="n"/>
      <c r="H48" s="78" t="n"/>
      <c r="I48" s="78" t="n"/>
      <c r="J48" s="78" t="n"/>
      <c r="K48" s="78" t="n"/>
      <c r="L48" s="11" t="n"/>
      <c r="M48" s="11" t="n"/>
      <c r="N48" s="78" t="n"/>
      <c r="O48" s="78" t="n"/>
      <c r="P48" s="78" t="n"/>
      <c r="Q48" s="78" t="n"/>
      <c r="R48" s="78" t="n"/>
      <c r="S48" s="11" t="n"/>
      <c r="T48" s="11" t="n"/>
      <c r="U48" s="16" t="n"/>
      <c r="V48" s="78" t="n"/>
      <c r="W48" s="78" t="n"/>
      <c r="X48" s="78" t="n"/>
      <c r="Y48" s="78" t="n"/>
      <c r="Z48" s="11" t="n"/>
      <c r="AA48" s="11" t="n"/>
      <c r="AB48" s="16" t="n"/>
      <c r="AC48" s="78" t="n"/>
      <c r="AD48" s="78" t="n"/>
      <c r="AE48" s="78" t="n"/>
      <c r="AF48" s="78" t="n"/>
      <c r="AG48" s="11" t="n"/>
      <c r="AH48" s="11" t="n"/>
      <c r="AI48" s="10" t="n"/>
      <c r="AJ48" s="78">
        <f>IF(COUNT(E48:AI48)=0,"",COUNT(E48:AI48))</f>
        <v/>
      </c>
      <c r="AK48" s="78">
        <f>IF(COUNT(E48:AI48)=0,"",SUM(E48:AI48))</f>
        <v/>
      </c>
    </row>
    <row r="49" ht="15" customHeight="1" thickBot="1">
      <c r="A49" s="78" t="n">
        <v>31</v>
      </c>
      <c r="B49" s="25" t="inlineStr">
        <is>
          <t>Ахмедов Жахонгир Алишерович</t>
        </is>
      </c>
      <c r="C49" s="20" t="inlineStr">
        <is>
          <t>Сварщик</t>
        </is>
      </c>
      <c r="D49" s="19" t="inlineStr">
        <is>
          <t xml:space="preserve">Ишлаб чиқариш бўлими </t>
        </is>
      </c>
      <c r="E49" s="11" t="n"/>
      <c r="F49" s="11" t="n"/>
      <c r="G49" s="78" t="n"/>
      <c r="H49" s="78" t="n"/>
      <c r="I49" s="78" t="n"/>
      <c r="J49" s="78" t="n"/>
      <c r="K49" s="78" t="n"/>
      <c r="L49" s="11" t="n"/>
      <c r="M49" s="11" t="n"/>
      <c r="N49" s="78" t="n"/>
      <c r="O49" s="78" t="n"/>
      <c r="P49" s="78" t="n"/>
      <c r="Q49" s="78" t="n"/>
      <c r="R49" s="78" t="n"/>
      <c r="S49" s="11" t="n"/>
      <c r="T49" s="11" t="n"/>
      <c r="U49" s="16" t="n"/>
      <c r="V49" s="78" t="n"/>
      <c r="W49" s="78" t="n"/>
      <c r="X49" s="78" t="n"/>
      <c r="Y49" s="78" t="n"/>
      <c r="Z49" s="11" t="n"/>
      <c r="AA49" s="11" t="n"/>
      <c r="AB49" s="16" t="n"/>
      <c r="AC49" s="78" t="n"/>
      <c r="AD49" s="78" t="n"/>
      <c r="AE49" s="78" t="n"/>
      <c r="AF49" s="78" t="n"/>
      <c r="AG49" s="11" t="n"/>
      <c r="AH49" s="11" t="n"/>
      <c r="AI49" s="10" t="n"/>
      <c r="AJ49" s="78">
        <f>IF(COUNT(E49:AI49)=0,"",COUNT(E49:AI49))</f>
        <v/>
      </c>
      <c r="AK49" s="78">
        <f>IF(COUNT(E49:AI49)=0,"",SUM(E49:AI49))</f>
        <v/>
      </c>
    </row>
    <row r="50" ht="16.5" customHeight="1" thickBot="1">
      <c r="A50" s="78" t="n">
        <v>32</v>
      </c>
      <c r="B50" s="25" t="inlineStr">
        <is>
          <t>Ходжаев Курбонали Йулдошевич</t>
        </is>
      </c>
      <c r="C50" s="20" t="inlineStr">
        <is>
          <t>Бетончи</t>
        </is>
      </c>
      <c r="D50" s="19" t="inlineStr">
        <is>
          <t xml:space="preserve">Ишлаб чиқариш бўлими </t>
        </is>
      </c>
      <c r="E50" s="11" t="n"/>
      <c r="F50" s="11" t="n"/>
      <c r="G50" s="78" t="n"/>
      <c r="H50" s="16" t="n"/>
      <c r="I50" s="78" t="n"/>
      <c r="J50" s="78" t="n"/>
      <c r="K50" s="78" t="n"/>
      <c r="L50" s="11" t="n"/>
      <c r="M50" s="11" t="n"/>
      <c r="N50" s="78" t="n"/>
      <c r="O50" s="78" t="n"/>
      <c r="P50" s="16" t="n"/>
      <c r="Q50" s="16" t="n"/>
      <c r="R50" s="78" t="n"/>
      <c r="S50" s="11" t="n"/>
      <c r="T50" s="11" t="n"/>
      <c r="U50" s="16" t="n"/>
      <c r="V50" s="78" t="n"/>
      <c r="W50" s="16" t="n"/>
      <c r="X50" s="16" t="n"/>
      <c r="Y50" s="78" t="n"/>
      <c r="Z50" s="11" t="n"/>
      <c r="AA50" s="11" t="n"/>
      <c r="AB50" s="16" t="n"/>
      <c r="AC50" s="78" t="n"/>
      <c r="AD50" s="78" t="n"/>
      <c r="AE50" s="78" t="n"/>
      <c r="AF50" s="78" t="n"/>
      <c r="AG50" s="11" t="n"/>
      <c r="AH50" s="11" t="n"/>
      <c r="AI50" s="10" t="n"/>
      <c r="AJ50" s="78">
        <f>IF(COUNT(E50:AI50)=0,"",COUNT(E50:AI50))</f>
        <v/>
      </c>
      <c r="AK50" s="78">
        <f>IF(COUNT(E50:AI50)=0,"",SUM(E50:AI50))</f>
        <v/>
      </c>
    </row>
    <row r="51" ht="15.75" customHeight="1" thickBot="1">
      <c r="A51" s="78" t="n">
        <v>33</v>
      </c>
      <c r="B51" s="25" t="inlineStr">
        <is>
          <t>Кучкаров Эркин Хасанович</t>
        </is>
      </c>
      <c r="C51" s="20" t="inlineStr">
        <is>
          <t>Бетончи</t>
        </is>
      </c>
      <c r="D51" s="19" t="inlineStr">
        <is>
          <t xml:space="preserve">Ишлаб чиқариш бўлими </t>
        </is>
      </c>
      <c r="E51" s="11" t="n"/>
      <c r="F51" s="11" t="n"/>
      <c r="G51" s="78" t="n"/>
      <c r="H51" s="78" t="n"/>
      <c r="I51" s="78" t="n"/>
      <c r="J51" s="78" t="n"/>
      <c r="K51" s="78" t="n"/>
      <c r="L51" s="11" t="n"/>
      <c r="M51" s="11" t="n"/>
      <c r="N51" s="78" t="n"/>
      <c r="O51" s="11" t="n"/>
      <c r="P51" s="78" t="n"/>
      <c r="Q51" s="78" t="n"/>
      <c r="R51" s="78" t="n"/>
      <c r="S51" s="11" t="n"/>
      <c r="T51" s="11" t="n"/>
      <c r="U51" s="16" t="n"/>
      <c r="V51" s="78" t="n"/>
      <c r="W51" s="78" t="n"/>
      <c r="X51" s="78" t="n"/>
      <c r="Y51" s="78" t="n"/>
      <c r="Z51" s="11" t="n"/>
      <c r="AA51" s="11" t="n"/>
      <c r="AB51" s="16" t="n"/>
      <c r="AC51" s="78" t="n"/>
      <c r="AD51" s="78" t="n"/>
      <c r="AE51" s="78" t="n"/>
      <c r="AF51" s="78" t="n"/>
      <c r="AG51" s="11" t="n"/>
      <c r="AH51" s="11" t="n"/>
      <c r="AI51" s="10" t="n"/>
      <c r="AJ51" s="78">
        <f>IF(COUNT(E51:AI51)=0,"",COUNT(E51:AI51))</f>
        <v/>
      </c>
      <c r="AK51" s="78">
        <f>IF(COUNT(E51:AI51)=0,"",SUM(E51:AI51))</f>
        <v/>
      </c>
    </row>
    <row r="52" ht="15" customHeight="1" thickBot="1">
      <c r="A52" s="78" t="n">
        <v>34</v>
      </c>
      <c r="B52" s="25" t="inlineStr">
        <is>
          <t>Юсупов Холназар Базарович</t>
        </is>
      </c>
      <c r="C52" s="20" t="inlineStr">
        <is>
          <t>Бетончи</t>
        </is>
      </c>
      <c r="D52" s="19" t="inlineStr">
        <is>
          <t xml:space="preserve">Ишлаб чиқариш бўлими </t>
        </is>
      </c>
      <c r="E52" s="11" t="n"/>
      <c r="F52" s="11" t="n"/>
      <c r="G52" s="78" t="n"/>
      <c r="H52" s="78" t="n"/>
      <c r="I52" s="11" t="n"/>
      <c r="J52" s="78" t="n"/>
      <c r="K52" s="78" t="n"/>
      <c r="L52" s="11" t="n"/>
      <c r="M52" s="11" t="n"/>
      <c r="N52" s="78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0" t="n"/>
      <c r="AJ52" s="78">
        <f>IF(COUNT(E52:AI52)=0,"",COUNT(E52:AI52))</f>
        <v/>
      </c>
      <c r="AK52" s="78">
        <f>IF(COUNT(E52:AI52)=0,"",SUM(E52:AI52))</f>
        <v/>
      </c>
    </row>
    <row r="53" ht="15" customHeight="1" thickBot="1">
      <c r="A53" s="78" t="n">
        <v>35</v>
      </c>
      <c r="B53" s="24" t="inlineStr">
        <is>
          <t>Аминов Камолиддин Лутфиддинович</t>
        </is>
      </c>
      <c r="C53" s="23" t="inlineStr">
        <is>
          <t>Бетончи</t>
        </is>
      </c>
      <c r="D53" s="19" t="inlineStr">
        <is>
          <t xml:space="preserve">Ишлаб чиқариш бўлими </t>
        </is>
      </c>
      <c r="E53" s="11" t="n"/>
      <c r="F53" s="11" t="n"/>
      <c r="G53" s="78" t="n"/>
      <c r="H53" s="78" t="n"/>
      <c r="I53" s="78" t="n"/>
      <c r="J53" s="78" t="n"/>
      <c r="K53" s="78" t="n"/>
      <c r="L53" s="11" t="n"/>
      <c r="M53" s="11" t="n"/>
      <c r="N53" s="78" t="n"/>
      <c r="O53" s="11" t="n"/>
      <c r="P53" s="16" t="n"/>
      <c r="Q53" s="16" t="n"/>
      <c r="R53" s="78" t="n"/>
      <c r="S53" s="11" t="n"/>
      <c r="T53" s="11" t="n"/>
      <c r="U53" s="16" t="n"/>
      <c r="V53" s="78" t="n"/>
      <c r="W53" s="78" t="n"/>
      <c r="X53" s="78" t="n"/>
      <c r="Y53" s="78" t="n"/>
      <c r="Z53" s="11" t="n"/>
      <c r="AA53" s="11" t="n"/>
      <c r="AB53" s="16" t="n"/>
      <c r="AC53" s="78" t="n"/>
      <c r="AD53" s="78" t="n"/>
      <c r="AE53" s="78" t="n"/>
      <c r="AF53" s="78" t="n"/>
      <c r="AG53" s="11" t="n"/>
      <c r="AH53" s="11" t="n"/>
      <c r="AI53" s="10" t="n"/>
      <c r="AJ53" s="78">
        <f>IF(COUNT(E53:AI53)=0,"",COUNT(E53:AI53))</f>
        <v/>
      </c>
      <c r="AK53" s="78">
        <f>IF(COUNT(E53:AI53)=0,"",SUM(E53:AI53))</f>
        <v/>
      </c>
    </row>
    <row r="54" ht="14.25" customHeight="1" thickBot="1">
      <c r="A54" s="78" t="n">
        <v>36</v>
      </c>
      <c r="B54" s="21" t="inlineStr">
        <is>
          <t>Фармонов  Шерзод Нурманович</t>
        </is>
      </c>
      <c r="C54" s="23" t="inlineStr">
        <is>
          <t>Бетончи</t>
        </is>
      </c>
      <c r="D54" s="19" t="inlineStr">
        <is>
          <t xml:space="preserve">Ишлаб чиқариш бўлими </t>
        </is>
      </c>
      <c r="E54" s="11" t="n"/>
      <c r="F54" s="11" t="n"/>
      <c r="G54" s="78" t="n"/>
      <c r="H54" s="16" t="n"/>
      <c r="I54" s="78" t="n"/>
      <c r="J54" s="78" t="n"/>
      <c r="K54" s="78" t="n"/>
      <c r="L54" s="11" t="n"/>
      <c r="M54" s="11" t="n"/>
      <c r="N54" s="78" t="n"/>
      <c r="O54" s="78" t="n"/>
      <c r="P54" s="78" t="n"/>
      <c r="Q54" s="78" t="n"/>
      <c r="R54" s="78" t="n"/>
      <c r="S54" s="11" t="n"/>
      <c r="T54" s="11" t="n"/>
      <c r="U54" s="16" t="n"/>
      <c r="V54" s="78" t="n"/>
      <c r="W54" s="16" t="n"/>
      <c r="X54" s="16" t="n"/>
      <c r="Y54" s="78" t="n"/>
      <c r="Z54" s="11" t="n"/>
      <c r="AA54" s="11" t="n"/>
      <c r="AB54" s="16" t="n"/>
      <c r="AC54" s="78" t="n"/>
      <c r="AD54" s="78" t="n"/>
      <c r="AE54" s="78" t="n"/>
      <c r="AF54" s="11" t="n"/>
      <c r="AG54" s="11" t="n"/>
      <c r="AH54" s="11" t="n"/>
      <c r="AI54" s="10" t="n"/>
      <c r="AJ54" s="78">
        <f>IF(COUNT(E54:AI54)=0,"",COUNT(E54:AI54))</f>
        <v/>
      </c>
      <c r="AK54" s="78">
        <f>IF(COUNT(E54:AI54)=0,"",SUM(E54:AI54))</f>
        <v/>
      </c>
    </row>
    <row r="55" ht="15" customHeight="1" thickBot="1">
      <c r="A55" s="78" t="n">
        <v>37</v>
      </c>
      <c r="B55" s="21" t="inlineStr">
        <is>
          <t xml:space="preserve">Насриддинов Химматилло Нусратуллаевич </t>
        </is>
      </c>
      <c r="C55" s="23" t="inlineStr">
        <is>
          <t>Бетончи</t>
        </is>
      </c>
      <c r="D55" s="19" t="inlineStr">
        <is>
          <t>Ишлаб чиқариш бўлими №1</t>
        </is>
      </c>
      <c r="E55" s="11" t="n"/>
      <c r="F55" s="11" t="n"/>
      <c r="G55" s="78" t="n"/>
      <c r="H55" s="78" t="n"/>
      <c r="I55" s="78" t="n"/>
      <c r="J55" s="78" t="n"/>
      <c r="K55" s="78" t="n"/>
      <c r="L55" s="11" t="n"/>
      <c r="M55" s="11" t="n"/>
      <c r="N55" s="78" t="n"/>
      <c r="O55" s="78" t="n"/>
      <c r="P55" s="16" t="n"/>
      <c r="Q55" s="16" t="n"/>
      <c r="R55" s="78" t="n"/>
      <c r="S55" s="11" t="n"/>
      <c r="T55" s="11" t="n"/>
      <c r="U55" s="16" t="n"/>
      <c r="V55" s="78" t="n"/>
      <c r="W55" s="78" t="n"/>
      <c r="X55" s="78" t="n"/>
      <c r="Y55" s="78" t="n"/>
      <c r="Z55" s="11" t="n"/>
      <c r="AA55" s="11" t="n"/>
      <c r="AB55" s="16" t="n"/>
      <c r="AC55" s="78" t="n"/>
      <c r="AD55" s="78" t="n"/>
      <c r="AE55" s="78" t="n"/>
      <c r="AF55" s="78" t="n"/>
      <c r="AG55" s="11" t="n"/>
      <c r="AH55" s="11" t="n"/>
      <c r="AI55" s="10" t="n"/>
      <c r="AJ55" s="78">
        <f>IF(COUNT(E55:AI55)=0,"",COUNT(E55:AI55))</f>
        <v/>
      </c>
      <c r="AK55" s="78">
        <f>IF(COUNT(E55:AI55)=0,"",SUM(E55:AI55))</f>
        <v/>
      </c>
    </row>
    <row r="56" ht="15.75" customHeight="1" thickBot="1">
      <c r="A56" s="78" t="n">
        <v>38</v>
      </c>
      <c r="B56" s="21" t="inlineStr">
        <is>
          <t>Шодиев Саид Чориевич</t>
        </is>
      </c>
      <c r="C56" s="22" t="inlineStr">
        <is>
          <t>Бетончи</t>
        </is>
      </c>
      <c r="D56" s="19" t="inlineStr">
        <is>
          <t xml:space="preserve">Ишлаб чиқариш бўлими </t>
        </is>
      </c>
      <c r="E56" s="11" t="n"/>
      <c r="F56" s="11" t="n"/>
      <c r="G56" s="78" t="n"/>
      <c r="H56" s="78" t="n"/>
      <c r="I56" s="78" t="n"/>
      <c r="J56" s="18" t="n"/>
      <c r="K56" s="78" t="n"/>
      <c r="L56" s="11" t="n"/>
      <c r="M56" s="11" t="n"/>
      <c r="N56" s="78" t="n"/>
      <c r="O56" s="78" t="n"/>
      <c r="P56" s="17" t="n"/>
      <c r="Q56" s="17" t="n"/>
      <c r="R56" s="78" t="n"/>
      <c r="S56" s="11" t="n"/>
      <c r="T56" s="11" t="n"/>
      <c r="U56" s="16" t="n"/>
      <c r="V56" s="78" t="n"/>
      <c r="W56" s="16" t="n"/>
      <c r="X56" s="16" t="n"/>
      <c r="Y56" s="78" t="n"/>
      <c r="Z56" s="11" t="n"/>
      <c r="AA56" s="11" t="n"/>
      <c r="AB56" s="16" t="n"/>
      <c r="AC56" s="78" t="n"/>
      <c r="AD56" s="78" t="n"/>
      <c r="AE56" s="78" t="n"/>
      <c r="AF56" s="78" t="n"/>
      <c r="AG56" s="11" t="n"/>
      <c r="AH56" s="11" t="n"/>
      <c r="AI56" s="10" t="n"/>
      <c r="AJ56" s="78">
        <f>IF(COUNT(E56:AI56)=0,"",COUNT(E56:AI56))</f>
        <v/>
      </c>
      <c r="AK56" s="78">
        <f>IF(COUNT(E56:AI56)=0,"",SUM(E56:AI56))</f>
        <v/>
      </c>
    </row>
    <row r="57" ht="16.5" customHeight="1" thickBot="1">
      <c r="A57" s="78" t="n">
        <v>39</v>
      </c>
      <c r="B57" s="21" t="inlineStr">
        <is>
          <t>Шодиев Охунжон Саид ўғли</t>
        </is>
      </c>
      <c r="C57" s="20" t="inlineStr">
        <is>
          <t>Бетончи</t>
        </is>
      </c>
      <c r="D57" s="19" t="inlineStr">
        <is>
          <t xml:space="preserve">Ишлаб чиқариш бўлими </t>
        </is>
      </c>
      <c r="E57" s="11" t="n"/>
      <c r="F57" s="11" t="n"/>
      <c r="G57" s="78" t="n"/>
      <c r="H57" s="78" t="n"/>
      <c r="I57" s="78" t="n"/>
      <c r="J57" s="18" t="n"/>
      <c r="K57" s="78" t="n"/>
      <c r="L57" s="11" t="n"/>
      <c r="M57" s="11" t="n"/>
      <c r="N57" s="78" t="n"/>
      <c r="O57" s="78" t="n"/>
      <c r="P57" s="17" t="n"/>
      <c r="Q57" s="17" t="n"/>
      <c r="R57" s="78" t="n"/>
      <c r="S57" s="11" t="n"/>
      <c r="T57" s="11" t="n"/>
      <c r="U57" s="16" t="n"/>
      <c r="V57" s="78" t="n"/>
      <c r="W57" s="78" t="n"/>
      <c r="X57" s="78" t="n"/>
      <c r="Y57" s="78" t="n"/>
      <c r="Z57" s="11" t="n"/>
      <c r="AA57" s="11" t="n"/>
      <c r="AB57" s="16" t="n"/>
      <c r="AC57" s="78" t="n"/>
      <c r="AD57" s="78" t="n"/>
      <c r="AE57" s="78" t="n"/>
      <c r="AF57" s="78" t="n"/>
      <c r="AG57" s="11" t="n"/>
      <c r="AH57" s="11" t="n"/>
      <c r="AI57" s="10" t="n"/>
      <c r="AJ57" s="78">
        <f>IF(COUNT(E57:AI57)=0,"",COUNT(E57:AI57))</f>
        <v/>
      </c>
      <c r="AK57" s="78">
        <f>IF(COUNT(E57:AI57)=0,"",SUM(E57:AI57))</f>
        <v/>
      </c>
    </row>
    <row r="58">
      <c r="A58" s="15" t="n"/>
      <c r="B58" s="14" t="n"/>
      <c r="C58" s="13" t="n"/>
      <c r="D58" s="9" t="n"/>
      <c r="E58" s="10" t="n"/>
      <c r="F58" s="11" t="n"/>
      <c r="G58" s="11" t="n"/>
      <c r="H58" s="9" t="n"/>
      <c r="I58" s="9" t="n"/>
      <c r="J58" s="2" t="n"/>
      <c r="K58" s="9" t="n"/>
      <c r="L58" s="10" t="n"/>
      <c r="M58" s="11" t="n"/>
      <c r="N58" s="11" t="n"/>
      <c r="O58" s="78" t="n"/>
      <c r="P58" s="9" t="n"/>
      <c r="Q58" s="9" t="n"/>
      <c r="R58" s="9" t="n"/>
      <c r="S58" s="10" t="n"/>
      <c r="T58" s="11" t="n"/>
      <c r="U58" s="11" t="n"/>
      <c r="V58" s="9" t="n"/>
      <c r="W58" s="9" t="n"/>
      <c r="X58" s="9" t="n"/>
      <c r="Y58" s="9" t="n"/>
      <c r="Z58" s="10" t="n"/>
      <c r="AA58" s="11" t="n"/>
      <c r="AB58" s="11" t="n"/>
      <c r="AC58" s="9" t="n"/>
      <c r="AD58" s="9" t="n"/>
      <c r="AE58" s="9" t="n"/>
      <c r="AF58" s="9" t="n"/>
      <c r="AG58" s="10" t="n"/>
      <c r="AH58" s="10" t="n"/>
      <c r="AI58" s="10" t="n"/>
      <c r="AJ58" s="9" t="n"/>
      <c r="AK58" s="9" t="n"/>
    </row>
    <row r="59">
      <c r="A59" s="7" t="n"/>
      <c r="B59" s="2" t="n"/>
      <c r="C59" s="5" t="n"/>
      <c r="D59" s="5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8" t="n"/>
      <c r="AK59" s="8" t="n"/>
    </row>
    <row r="60">
      <c r="A60" s="7" t="n"/>
      <c r="B60" s="2" t="n"/>
      <c r="C60" s="5" t="n"/>
      <c r="D60" s="5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</row>
    <row r="61" ht="21.75" customHeight="1" thickBot="1">
      <c r="A61" s="79" t="inlineStr">
        <is>
          <t>Mas'ul shaxs</t>
        </is>
      </c>
      <c r="C61" s="5" t="n"/>
      <c r="D61" s="5" t="n"/>
      <c r="E61" s="80" t="n"/>
      <c r="F61" s="111" t="n"/>
      <c r="G61" s="111" t="n"/>
      <c r="H61" s="111" t="n"/>
      <c r="I61" s="111" t="n"/>
      <c r="J61" s="2" t="n"/>
      <c r="K61" s="2" t="n"/>
      <c r="L61" s="80" t="n"/>
      <c r="M61" s="111" t="n"/>
      <c r="N61" s="111" t="n"/>
      <c r="O61" s="111" t="n"/>
      <c r="P61" s="111" t="n"/>
      <c r="Q61" s="111" t="n"/>
      <c r="R61" s="111" t="n"/>
      <c r="S61" s="111" t="n"/>
      <c r="T61" s="111" t="n"/>
      <c r="U61" s="111" t="n"/>
      <c r="V61" s="111" t="n"/>
      <c r="W61" s="2" t="n"/>
      <c r="X61" s="81" t="inlineStr">
        <is>
          <t>" _______ " ____________ 20 _____y.</t>
        </is>
      </c>
      <c r="AF61" s="2" t="n"/>
      <c r="AG61" s="2" t="n"/>
      <c r="AH61" s="2" t="n"/>
      <c r="AI61" s="2" t="n"/>
      <c r="AJ61" s="2" t="n"/>
      <c r="AK61" s="2" t="n"/>
    </row>
    <row r="62">
      <c r="C62" s="82" t="inlineStr">
        <is>
          <t>lavozim</t>
        </is>
      </c>
      <c r="E62" s="82" t="inlineStr">
        <is>
          <t>shaxsiy imzo</t>
        </is>
      </c>
      <c r="F62" s="86" t="n"/>
      <c r="G62" s="86" t="n"/>
      <c r="H62" s="86" t="n"/>
      <c r="I62" s="86" t="n"/>
      <c r="J62" s="44" t="n"/>
      <c r="K62" s="2" t="n"/>
      <c r="L62" s="82" t="inlineStr">
        <is>
          <t>Imzo kengaytmasi</t>
        </is>
      </c>
      <c r="M62" s="86" t="n"/>
      <c r="N62" s="86" t="n"/>
      <c r="O62" s="86" t="n"/>
      <c r="P62" s="86" t="n"/>
      <c r="Q62" s="86" t="n"/>
      <c r="R62" s="86" t="n"/>
      <c r="S62" s="86" t="n"/>
      <c r="T62" s="86" t="n"/>
      <c r="U62" s="86" t="n"/>
      <c r="V62" s="86" t="n"/>
      <c r="W62" s="2" t="n"/>
      <c r="X62" s="81" t="n"/>
      <c r="Y62" s="81" t="n"/>
      <c r="Z62" s="81" t="n"/>
      <c r="AA62" s="81" t="n"/>
      <c r="AB62" s="81" t="n"/>
      <c r="AC62" s="81" t="n"/>
      <c r="AD62" s="81" t="n"/>
      <c r="AE62" s="81" t="n"/>
      <c r="AF62" s="2" t="n"/>
      <c r="AG62" s="2" t="n"/>
      <c r="AH62" s="2" t="n"/>
      <c r="AI62" s="2" t="n"/>
      <c r="AJ62" s="2" t="n"/>
      <c r="AK62" s="2" t="n"/>
    </row>
    <row r="63">
      <c r="A63" s="2" t="n"/>
      <c r="B63" s="2" t="n"/>
      <c r="C63" s="5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2" t="n"/>
      <c r="AG63" s="2" t="n"/>
      <c r="AH63" s="2" t="n"/>
      <c r="AI63" s="2" t="n"/>
      <c r="AJ63" s="2" t="n"/>
      <c r="AK63" s="2" t="n"/>
    </row>
    <row r="64" ht="27" customHeight="1" thickBot="1">
      <c r="A64" s="83" t="inlineStr">
        <is>
          <t>Kadrlar xizmati xodimi</t>
        </is>
      </c>
      <c r="C64" s="5" t="n"/>
      <c r="D64" s="2" t="n"/>
      <c r="E64" s="80" t="n"/>
      <c r="F64" s="111" t="n"/>
      <c r="G64" s="111" t="n"/>
      <c r="H64" s="111" t="n"/>
      <c r="I64" s="111" t="n"/>
      <c r="J64" s="2" t="n"/>
      <c r="K64" s="2" t="n"/>
      <c r="L64" s="80" t="n"/>
      <c r="M64" s="111" t="n"/>
      <c r="N64" s="111" t="n"/>
      <c r="O64" s="111" t="n"/>
      <c r="P64" s="111" t="n"/>
      <c r="Q64" s="111" t="n"/>
      <c r="R64" s="111" t="n"/>
      <c r="S64" s="111" t="n"/>
      <c r="T64" s="111" t="n"/>
      <c r="U64" s="111" t="n"/>
      <c r="V64" s="111" t="n"/>
      <c r="W64" s="2" t="n"/>
      <c r="X64" s="81" t="inlineStr">
        <is>
          <t>" _______" ____________ 20 _____ y.</t>
        </is>
      </c>
      <c r="AF64" s="2" t="n"/>
      <c r="AG64" s="2" t="n"/>
      <c r="AH64" s="2" t="n"/>
      <c r="AI64" s="2" t="n"/>
      <c r="AJ64" s="2" t="n"/>
      <c r="AK64" s="2" t="n"/>
    </row>
    <row r="65">
      <c r="C65" s="82" t="inlineStr">
        <is>
          <t>lavozim</t>
        </is>
      </c>
      <c r="D65" s="2" t="n"/>
      <c r="E65" s="82" t="inlineStr">
        <is>
          <t>shaxsiy imzo</t>
        </is>
      </c>
      <c r="F65" s="86" t="n"/>
      <c r="G65" s="86" t="n"/>
      <c r="H65" s="86" t="n"/>
      <c r="I65" s="86" t="n"/>
      <c r="J65" s="44" t="n"/>
      <c r="K65" s="2" t="n"/>
      <c r="L65" s="82" t="inlineStr">
        <is>
          <t>Imzo kengaytmasi</t>
        </is>
      </c>
      <c r="M65" s="86" t="n"/>
      <c r="N65" s="86" t="n"/>
      <c r="O65" s="86" t="n"/>
      <c r="P65" s="86" t="n"/>
      <c r="Q65" s="86" t="n"/>
      <c r="R65" s="86" t="n"/>
      <c r="S65" s="86" t="n"/>
      <c r="T65" s="86" t="n"/>
      <c r="U65" s="86" t="n"/>
      <c r="V65" s="86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</row>
  </sheetData>
  <mergeCells count="72">
    <mergeCell ref="C14:C17"/>
    <mergeCell ref="AD3:AK3"/>
    <mergeCell ref="X15:X17"/>
    <mergeCell ref="Q12:U12"/>
    <mergeCell ref="M15:M17"/>
    <mergeCell ref="E62:I62"/>
    <mergeCell ref="Q15:Q17"/>
    <mergeCell ref="AH15:AH17"/>
    <mergeCell ref="L65:V65"/>
    <mergeCell ref="S15:S17"/>
    <mergeCell ref="AJ15:AJ17"/>
    <mergeCell ref="A9:AF9"/>
    <mergeCell ref="AJ14:AK14"/>
    <mergeCell ref="AE15:AE17"/>
    <mergeCell ref="A8:AK8"/>
    <mergeCell ref="AF12:AH12"/>
    <mergeCell ref="AG15:AG17"/>
    <mergeCell ref="X61:AE61"/>
    <mergeCell ref="E64:I64"/>
    <mergeCell ref="I13:R13"/>
    <mergeCell ref="AE5:AK5"/>
    <mergeCell ref="B14:B17"/>
    <mergeCell ref="AC10:AH10"/>
    <mergeCell ref="AF11:AH11"/>
    <mergeCell ref="AD4:AJ4"/>
    <mergeCell ref="H15:H17"/>
    <mergeCell ref="N15:N17"/>
    <mergeCell ref="P15:P17"/>
    <mergeCell ref="AD1:AK1"/>
    <mergeCell ref="L62:V62"/>
    <mergeCell ref="T15:T17"/>
    <mergeCell ref="I15:I17"/>
    <mergeCell ref="Z15:Z17"/>
    <mergeCell ref="AB15:AB17"/>
    <mergeCell ref="K15:K17"/>
    <mergeCell ref="E18:AI18"/>
    <mergeCell ref="A7:AF7"/>
    <mergeCell ref="E65:I65"/>
    <mergeCell ref="AC12:AE12"/>
    <mergeCell ref="AC11:AE11"/>
    <mergeCell ref="L64:V64"/>
    <mergeCell ref="Y15:Y17"/>
    <mergeCell ref="A64:B65"/>
    <mergeCell ref="V10:AA11"/>
    <mergeCell ref="X64:AE64"/>
    <mergeCell ref="AD2:AK2"/>
    <mergeCell ref="L12:O12"/>
    <mergeCell ref="U15:U17"/>
    <mergeCell ref="O15:O17"/>
    <mergeCell ref="W15:W17"/>
    <mergeCell ref="A14:A17"/>
    <mergeCell ref="E14:AI14"/>
    <mergeCell ref="F15:F17"/>
    <mergeCell ref="AI15:AI17"/>
    <mergeCell ref="V12:AA12"/>
    <mergeCell ref="AA15:AA17"/>
    <mergeCell ref="E61:I61"/>
    <mergeCell ref="AK15:AK17"/>
    <mergeCell ref="AC15:AC17"/>
    <mergeCell ref="A61:B62"/>
    <mergeCell ref="A6:AK6"/>
    <mergeCell ref="D14:D17"/>
    <mergeCell ref="J15:J17"/>
    <mergeCell ref="L15:L17"/>
    <mergeCell ref="R15:R17"/>
    <mergeCell ref="V15:V17"/>
    <mergeCell ref="E15:E17"/>
    <mergeCell ref="G15:G17"/>
    <mergeCell ref="AD15:AD17"/>
    <mergeCell ref="Q10:U11"/>
    <mergeCell ref="AF15:AF17"/>
    <mergeCell ref="L61:V61"/>
  </mergeCells>
  <printOptions horizontalCentered="1"/>
  <pageMargins left="0.25" right="0.25" top="0.4" bottom="0.4" header="0.2" footer="0.2"/>
  <pageSetup orientation="landscape" paperSize="9" scale="40" fitToHeight="1" fitToWidth="1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K65"/>
  <sheetViews>
    <sheetView workbookViewId="0">
      <selection activeCell="A1" sqref="A1"/>
    </sheetView>
  </sheetViews>
  <sheetFormatPr baseColWidth="8" defaultRowHeight="15"/>
  <cols>
    <col width="4.85546875" customWidth="1" style="1" min="1" max="1"/>
    <col width="37.85546875" customWidth="1" style="1" min="2" max="2"/>
    <col width="22.140625" customWidth="1" style="1" min="3" max="3"/>
    <col width="31.7109375" customWidth="1" style="1" min="4" max="4"/>
    <col width="3.42578125" customWidth="1" style="1" min="5" max="5"/>
    <col width="3.5703125" customWidth="1" style="1" min="6" max="6"/>
    <col width="3" customWidth="1" style="1" min="7" max="7"/>
    <col width="2.7109375" customWidth="1" style="1" min="8" max="8"/>
    <col width="3.5703125" customWidth="1" style="1" min="9" max="11"/>
    <col width="3.140625" customWidth="1" style="1" min="12" max="13"/>
    <col width="2.7109375" bestFit="1" customWidth="1" style="1" min="14" max="14"/>
    <col width="3.42578125" customWidth="1" style="1" min="15" max="15"/>
    <col width="2.85546875" customWidth="1" style="1" min="16" max="16"/>
    <col width="3.140625" customWidth="1" style="1" min="17" max="17"/>
    <col width="3.28515625" customWidth="1" style="1" min="18" max="18"/>
    <col width="3.7109375" customWidth="1" style="1" min="19" max="19"/>
    <col width="3.28515625" customWidth="1" style="1" min="20" max="20"/>
    <col width="2.7109375" bestFit="1" customWidth="1" style="1" min="21" max="21"/>
    <col width="3.28515625" customWidth="1" style="1" min="22" max="22"/>
    <col width="3.5703125" customWidth="1" style="1" min="23" max="23"/>
    <col width="2.7109375" bestFit="1" customWidth="1" style="1" min="24" max="24"/>
    <col width="3" customWidth="1" style="1" min="25" max="25"/>
    <col width="4" customWidth="1" style="1" min="26" max="26"/>
    <col width="3.85546875" customWidth="1" style="1" min="27" max="27"/>
    <col width="3.5703125" customWidth="1" style="1" min="28" max="28"/>
    <col width="2.7109375" bestFit="1" customWidth="1" style="1" min="29" max="29"/>
    <col width="3.42578125" customWidth="1" style="1" min="30" max="30"/>
    <col width="3.28515625" customWidth="1" style="1" min="31" max="31"/>
    <col width="3.7109375" customWidth="1" style="1" min="32" max="33"/>
    <col width="4.28515625" customWidth="1" style="1" min="34" max="34"/>
    <col width="4" customWidth="1" style="1" min="35" max="35"/>
    <col width="9.140625" customWidth="1" style="1" min="36" max="16384"/>
  </cols>
  <sheetData>
    <row r="1">
      <c r="A1" s="1" t="n"/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34" t="n"/>
      <c r="AD1" s="39" t="inlineStr">
        <is>
          <t>“TASLIQLAYMAN”</t>
        </is>
      </c>
    </row>
    <row r="2">
      <c r="A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40" t="inlineStr">
        <is>
          <t>"ELEKTROQURILISHMAXSULOT" MCHJ</t>
        </is>
      </c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40" t="inlineStr">
        <is>
          <t>______________      F,MAXMUDOV</t>
        </is>
      </c>
    </row>
    <row r="4">
      <c r="A4" s="34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41" t="inlineStr">
        <is>
          <t>"_______"___________2026 yil</t>
        </is>
      </c>
      <c r="AK4" s="34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42" t="n"/>
    </row>
    <row r="6" ht="16.5" customHeight="1" thickBot="1">
      <c r="A6" s="38" t="inlineStr">
        <is>
          <t>"ELEKTROQURILISHMAXSULOT" АЖ</t>
        </is>
      </c>
      <c r="B6" s="84" t="n"/>
      <c r="C6" s="84" t="n"/>
      <c r="D6" s="84" t="n"/>
      <c r="E6" s="84" t="n"/>
      <c r="F6" s="84" t="n"/>
      <c r="G6" s="84" t="n"/>
      <c r="H6" s="84" t="n"/>
      <c r="I6" s="84" t="n"/>
      <c r="J6" s="84" t="n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  <c r="AA6" s="84" t="n"/>
      <c r="AB6" s="84" t="n"/>
      <c r="AC6" s="84" t="n"/>
      <c r="AD6" s="84" t="n"/>
      <c r="AE6" s="84" t="n"/>
      <c r="AF6" s="84" t="n"/>
      <c r="AG6" s="84" t="n"/>
      <c r="AH6" s="84" t="n"/>
      <c r="AI6" s="84" t="n"/>
      <c r="AJ6" s="84" t="n"/>
      <c r="AK6" s="84" t="n"/>
    </row>
    <row r="7">
      <c r="A7" s="44" t="inlineStr">
        <is>
          <t xml:space="preserve">                                                                kompaniya nomi</t>
        </is>
      </c>
      <c r="AG7" s="33" t="n"/>
      <c r="AH7" s="33" t="n"/>
      <c r="AI7" s="33" t="n"/>
      <c r="AJ7" s="32" t="n"/>
      <c r="AK7" s="32" t="n"/>
    </row>
    <row r="8" ht="15.75" customHeight="1" thickBot="1">
      <c r="A8" s="45" t="n"/>
      <c r="B8" s="84" t="n"/>
      <c r="C8" s="84" t="n"/>
      <c r="D8" s="84" t="n"/>
      <c r="E8" s="84" t="n"/>
      <c r="F8" s="84" t="n"/>
      <c r="G8" s="84" t="n"/>
      <c r="H8" s="84" t="n"/>
      <c r="I8" s="84" t="n"/>
      <c r="J8" s="84" t="n"/>
      <c r="K8" s="84" t="n"/>
      <c r="L8" s="84" t="n"/>
      <c r="M8" s="84" t="n"/>
      <c r="N8" s="84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84" t="n"/>
      <c r="AB8" s="84" t="n"/>
      <c r="AC8" s="84" t="n"/>
      <c r="AD8" s="84" t="n"/>
      <c r="AE8" s="84" t="n"/>
      <c r="AF8" s="84" t="n"/>
      <c r="AG8" s="84" t="n"/>
      <c r="AH8" s="84" t="n"/>
      <c r="AI8" s="84" t="n"/>
      <c r="AJ8" s="84" t="n"/>
      <c r="AK8" s="84" t="n"/>
    </row>
    <row r="9" ht="15.75" customHeight="1" thickBot="1">
      <c r="A9" s="44" t="inlineStr">
        <is>
          <t xml:space="preserve">                                                           tarkibiy bo'linma</t>
        </is>
      </c>
      <c r="AG9" s="2" t="n"/>
      <c r="AH9" s="2" t="n"/>
      <c r="AI9" s="2" t="n"/>
      <c r="AJ9" s="2" t="n"/>
      <c r="AK9" s="2" t="n"/>
    </row>
    <row r="10" ht="15.75" customHeight="1" thickBo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85" t="inlineStr">
        <is>
          <t>Hujjat raqami</t>
        </is>
      </c>
      <c r="R10" s="86" t="n"/>
      <c r="S10" s="86" t="n"/>
      <c r="T10" s="86" t="n"/>
      <c r="U10" s="87" t="n"/>
      <c r="V10" s="85" t="inlineStr">
        <is>
          <t>Tuzilish sanasi</t>
        </is>
      </c>
      <c r="W10" s="86" t="n"/>
      <c r="X10" s="86" t="n"/>
      <c r="Y10" s="86" t="n"/>
      <c r="Z10" s="86" t="n"/>
      <c r="AA10" s="87" t="n"/>
      <c r="AB10" s="31" t="n"/>
      <c r="AC10" s="88" t="inlineStr">
        <is>
          <t>Hisobot davri</t>
        </is>
      </c>
      <c r="AD10" s="89" t="n"/>
      <c r="AE10" s="89" t="n"/>
      <c r="AF10" s="89" t="n"/>
      <c r="AG10" s="89" t="n"/>
      <c r="AH10" s="90" t="n"/>
      <c r="AI10" s="2" t="n"/>
      <c r="AJ10" s="2" t="n"/>
      <c r="AK10" s="2" t="n"/>
    </row>
    <row r="11" ht="15.75" customHeight="1" thickBo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91" t="n"/>
      <c r="R11" s="92" t="n"/>
      <c r="S11" s="92" t="n"/>
      <c r="T11" s="92" t="n"/>
      <c r="U11" s="93" t="n"/>
      <c r="V11" s="91" t="n"/>
      <c r="W11" s="92" t="n"/>
      <c r="X11" s="92" t="n"/>
      <c r="Y11" s="92" t="n"/>
      <c r="Z11" s="92" t="n"/>
      <c r="AA11" s="93" t="n"/>
      <c r="AB11" s="31" t="n"/>
      <c r="AC11" s="85" t="inlineStr">
        <is>
          <t>dan</t>
        </is>
      </c>
      <c r="AD11" s="94" t="n"/>
      <c r="AE11" s="95" t="n"/>
      <c r="AF11" s="85" t="inlineStr">
        <is>
          <t>bo'yicha</t>
        </is>
      </c>
      <c r="AG11" s="94" t="n"/>
      <c r="AH11" s="95" t="n"/>
      <c r="AI11" s="2" t="n"/>
      <c r="AJ11" s="2" t="n"/>
      <c r="AK11" s="2" t="n"/>
    </row>
    <row r="12" ht="17.25" customHeight="1" thickBot="1" thickTop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58" t="inlineStr">
        <is>
          <t>TABEL</t>
        </is>
      </c>
      <c r="P12" s="2" t="n"/>
      <c r="Q12" s="96" t="inlineStr">
        <is>
          <t>_________</t>
        </is>
      </c>
      <c r="R12" s="97" t="n"/>
      <c r="S12" s="97" t="n"/>
      <c r="T12" s="97" t="n"/>
      <c r="U12" s="98" t="n"/>
      <c r="V12" s="99" t="inlineStr">
        <is>
          <t>01.10-31.10.2026</t>
        </is>
      </c>
      <c r="W12" s="97" t="n"/>
      <c r="X12" s="97" t="n"/>
      <c r="Y12" s="97" t="n"/>
      <c r="Z12" s="97" t="n"/>
      <c r="AA12" s="98" t="n"/>
      <c r="AB12" s="31" t="n"/>
      <c r="AC12" s="99" t="inlineStr">
        <is>
          <t>01.10.2026</t>
        </is>
      </c>
      <c r="AD12" s="97" t="n"/>
      <c r="AE12" s="98" t="n"/>
      <c r="AF12" s="99" t="inlineStr">
        <is>
          <t>31.10.2026</t>
        </is>
      </c>
      <c r="AG12" s="97" t="n"/>
      <c r="AH12" s="98" t="n"/>
      <c r="AI12" s="2" t="n"/>
      <c r="AJ12" s="2" t="n"/>
      <c r="AK12" s="2" t="n"/>
    </row>
    <row r="13" ht="17.25" customHeight="1" thickBot="1" thickTop="1">
      <c r="A13" s="2" t="n"/>
      <c r="B13" s="2" t="n"/>
      <c r="C13" s="2" t="n"/>
      <c r="D13" s="2" t="n"/>
      <c r="E13" s="2" t="n"/>
      <c r="F13" s="2" t="n"/>
      <c r="G13" s="2" t="n"/>
      <c r="H13" s="2" t="n"/>
      <c r="I13" s="43" t="inlineStr">
        <is>
          <t>ish vaqtini hisoblash</t>
        </is>
      </c>
      <c r="J13" s="100" t="n"/>
      <c r="K13" s="100" t="n"/>
      <c r="L13" s="100" t="n"/>
      <c r="M13" s="100" t="n"/>
      <c r="N13" s="100" t="n"/>
      <c r="O13" s="100" t="n"/>
      <c r="P13" s="100" t="n"/>
      <c r="Q13" s="100" t="n"/>
      <c r="R13" s="100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</row>
    <row r="14" ht="16.5" customHeight="1" thickBot="1" thickTop="1">
      <c r="A14" s="73" t="inlineStr">
        <is>
          <t>№</t>
        </is>
      </c>
      <c r="B14" s="75" t="inlineStr">
        <is>
          <t>Familiya IS.</t>
        </is>
      </c>
      <c r="C14" s="75" t="inlineStr">
        <is>
          <t>Lavozim</t>
        </is>
      </c>
      <c r="D14" s="75" t="inlineStr">
        <is>
          <t xml:space="preserve">Bo'lim nomi </t>
        </is>
      </c>
      <c r="E14" s="101" t="inlineStr">
        <is>
          <t>Oyni kunlari bo‘yicha ishga kelish va kelmaslik belgilari</t>
        </is>
      </c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02" t="n"/>
      <c r="R14" s="102" t="n"/>
      <c r="S14" s="102" t="n"/>
      <c r="T14" s="102" t="n"/>
      <c r="U14" s="102" t="n"/>
      <c r="V14" s="102" t="n"/>
      <c r="W14" s="102" t="n"/>
      <c r="X14" s="102" t="n"/>
      <c r="Y14" s="102" t="n"/>
      <c r="Z14" s="102" t="n"/>
      <c r="AA14" s="102" t="n"/>
      <c r="AB14" s="102" t="n"/>
      <c r="AC14" s="102" t="n"/>
      <c r="AD14" s="102" t="n"/>
      <c r="AE14" s="102" t="n"/>
      <c r="AF14" s="102" t="n"/>
      <c r="AG14" s="102" t="n"/>
      <c r="AH14" s="102" t="n"/>
      <c r="AI14" s="103" t="n"/>
      <c r="AJ14" s="104" t="inlineStr">
        <is>
          <t>Oylik ishlagan</t>
        </is>
      </c>
      <c r="AK14" s="105" t="n"/>
    </row>
    <row r="15">
      <c r="A15" s="106" t="n"/>
      <c r="B15" s="107" t="n"/>
      <c r="C15" s="107" t="n"/>
      <c r="D15" s="107" t="n"/>
      <c r="E15" s="67" t="n">
        <v>1</v>
      </c>
      <c r="F15" s="67" t="n">
        <v>2</v>
      </c>
      <c r="G15" s="69" t="n">
        <v>3</v>
      </c>
      <c r="H15" s="69" t="n">
        <v>4</v>
      </c>
      <c r="I15" s="69" t="n">
        <v>5</v>
      </c>
      <c r="J15" s="69" t="n">
        <v>6</v>
      </c>
      <c r="K15" s="69" t="n">
        <v>7</v>
      </c>
      <c r="L15" s="67" t="n">
        <v>8</v>
      </c>
      <c r="M15" s="67" t="n">
        <v>9</v>
      </c>
      <c r="N15" s="69" t="n">
        <v>10</v>
      </c>
      <c r="O15" s="69" t="n">
        <v>11</v>
      </c>
      <c r="P15" s="69" t="n">
        <v>12</v>
      </c>
      <c r="Q15" s="69" t="n">
        <v>13</v>
      </c>
      <c r="R15" s="69" t="n">
        <v>14</v>
      </c>
      <c r="S15" s="67" t="n">
        <v>15</v>
      </c>
      <c r="T15" s="67" t="n">
        <v>16</v>
      </c>
      <c r="U15" s="69" t="n">
        <v>17</v>
      </c>
      <c r="V15" s="69" t="n">
        <v>18</v>
      </c>
      <c r="W15" s="69" t="n">
        <v>19</v>
      </c>
      <c r="X15" s="69" t="n">
        <v>20</v>
      </c>
      <c r="Y15" s="69" t="n">
        <v>21</v>
      </c>
      <c r="Z15" s="67" t="n">
        <v>22</v>
      </c>
      <c r="AA15" s="67" t="n">
        <v>23</v>
      </c>
      <c r="AB15" s="69" t="n">
        <v>24</v>
      </c>
      <c r="AC15" s="69" t="n">
        <v>25</v>
      </c>
      <c r="AD15" s="69" t="n">
        <v>26</v>
      </c>
      <c r="AE15" s="69" t="n">
        <v>27</v>
      </c>
      <c r="AF15" s="69" t="n">
        <v>28</v>
      </c>
      <c r="AG15" s="67" t="n">
        <v>29</v>
      </c>
      <c r="AH15" s="67" t="n">
        <v>30</v>
      </c>
      <c r="AI15" s="69" t="n">
        <v>31</v>
      </c>
      <c r="AJ15" s="69" t="inlineStr">
        <is>
          <t>Kunlar</t>
        </is>
      </c>
      <c r="AK15" s="71" t="inlineStr">
        <is>
          <t>Soat</t>
        </is>
      </c>
    </row>
    <row r="16">
      <c r="A16" s="106" t="n"/>
      <c r="B16" s="107" t="n"/>
      <c r="C16" s="107" t="n"/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  <c r="N16" s="107" t="n"/>
      <c r="O16" s="107" t="n"/>
      <c r="P16" s="107" t="n"/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107" t="n"/>
      <c r="AJ16" s="107" t="n"/>
      <c r="AK16" s="108" t="n"/>
    </row>
    <row r="17">
      <c r="A17" s="106" t="n"/>
      <c r="B17" s="107" t="n"/>
      <c r="C17" s="107" t="n"/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  <c r="N17" s="107" t="n"/>
      <c r="O17" s="107" t="n"/>
      <c r="P17" s="107" t="n"/>
      <c r="Q17" s="107" t="n"/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107" t="n"/>
      <c r="AJ17" s="107" t="n"/>
      <c r="AK17" s="108" t="n"/>
    </row>
    <row r="18">
      <c r="A18" s="78" t="n">
        <v>1</v>
      </c>
      <c r="B18" s="78" t="n">
        <v>2</v>
      </c>
      <c r="C18" s="78" t="n">
        <v>3</v>
      </c>
      <c r="D18" s="78" t="n">
        <v>3</v>
      </c>
      <c r="E18" s="78" t="n">
        <v>4</v>
      </c>
      <c r="F18" s="109" t="n"/>
      <c r="G18" s="109" t="n"/>
      <c r="H18" s="109" t="n"/>
      <c r="I18" s="109" t="n"/>
      <c r="J18" s="109" t="n"/>
      <c r="K18" s="109" t="n"/>
      <c r="L18" s="109" t="n"/>
      <c r="M18" s="109" t="n"/>
      <c r="N18" s="109" t="n"/>
      <c r="O18" s="109" t="n"/>
      <c r="P18" s="109" t="n"/>
      <c r="Q18" s="109" t="n"/>
      <c r="R18" s="109" t="n"/>
      <c r="S18" s="109" t="n"/>
      <c r="T18" s="109" t="n"/>
      <c r="U18" s="109" t="n"/>
      <c r="V18" s="109" t="n"/>
      <c r="W18" s="109" t="n"/>
      <c r="X18" s="109" t="n"/>
      <c r="Y18" s="109" t="n"/>
      <c r="Z18" s="109" t="n"/>
      <c r="AA18" s="109" t="n"/>
      <c r="AB18" s="109" t="n"/>
      <c r="AC18" s="109" t="n"/>
      <c r="AD18" s="109" t="n"/>
      <c r="AE18" s="109" t="n"/>
      <c r="AF18" s="109" t="n"/>
      <c r="AG18" s="109" t="n"/>
      <c r="AH18" s="109" t="n"/>
      <c r="AI18" s="110" t="n"/>
      <c r="AJ18" s="78" t="n">
        <v>5</v>
      </c>
      <c r="AK18" s="78" t="n">
        <v>6</v>
      </c>
    </row>
    <row r="19" ht="17.25" customHeight="1" thickBot="1">
      <c r="A19" s="78" t="n">
        <v>1</v>
      </c>
      <c r="B19" s="26" t="inlineStr">
        <is>
          <t>Махмудов  Фазлиддин Аминович</t>
        </is>
      </c>
      <c r="C19" s="20" t="inlineStr">
        <is>
          <t>Директор</t>
        </is>
      </c>
      <c r="D19" s="19" t="inlineStr">
        <is>
          <t>Бошқарув</t>
        </is>
      </c>
      <c r="E19" s="11" t="n"/>
      <c r="F19" s="11" t="n"/>
      <c r="G19" s="78" t="n"/>
      <c r="H19" s="78" t="n"/>
      <c r="I19" s="78" t="n"/>
      <c r="J19" s="78" t="n"/>
      <c r="K19" s="78" t="n"/>
      <c r="L19" s="11" t="n"/>
      <c r="M19" s="11" t="n"/>
      <c r="N19" s="78" t="n"/>
      <c r="O19" s="78" t="n"/>
      <c r="P19" s="78" t="n"/>
      <c r="Q19" s="78" t="n"/>
      <c r="R19" s="78" t="n"/>
      <c r="S19" s="11" t="n"/>
      <c r="T19" s="11" t="n"/>
      <c r="U19" s="16" t="n"/>
      <c r="V19" s="78" t="n"/>
      <c r="W19" s="78" t="n"/>
      <c r="X19" s="78" t="n"/>
      <c r="Y19" s="78" t="n"/>
      <c r="Z19" s="11" t="n"/>
      <c r="AA19" s="11" t="n"/>
      <c r="AB19" s="16" t="n"/>
      <c r="AC19" s="78" t="n"/>
      <c r="AD19" s="78" t="n"/>
      <c r="AE19" s="78" t="n"/>
      <c r="AF19" s="78" t="n"/>
      <c r="AG19" s="11" t="n"/>
      <c r="AH19" s="11" t="n"/>
      <c r="AI19" s="10" t="n"/>
      <c r="AJ19" s="78">
        <f>IF(COUNT(E19:AI19)=0,"",COUNT(E19:AI19))</f>
        <v/>
      </c>
      <c r="AK19" s="78">
        <f>IF(COUNT(E19:AI19)=0,"",SUM(E19:AI19))</f>
        <v/>
      </c>
    </row>
    <row r="20" ht="15.75" customHeight="1" thickBot="1">
      <c r="A20" s="78" t="n">
        <v>2</v>
      </c>
      <c r="B20" s="26" t="inlineStr">
        <is>
          <t>Жабборов Фозил Фахмон угли</t>
        </is>
      </c>
      <c r="C20" s="20" t="inlineStr">
        <is>
          <t>Цех бошлиги</t>
        </is>
      </c>
      <c r="D20" s="19" t="inlineStr">
        <is>
          <t>Бошқарув апарати мутахассиси</t>
        </is>
      </c>
      <c r="E20" s="11" t="n"/>
      <c r="F20" s="11" t="n"/>
      <c r="G20" s="78" t="n"/>
      <c r="H20" s="78" t="n"/>
      <c r="I20" s="78" t="n"/>
      <c r="J20" s="78" t="n"/>
      <c r="K20" s="78" t="n"/>
      <c r="L20" s="11" t="n"/>
      <c r="M20" s="11" t="n"/>
      <c r="N20" s="78" t="n"/>
      <c r="O20" s="78" t="n"/>
      <c r="P20" s="78" t="n"/>
      <c r="Q20" s="78" t="n"/>
      <c r="R20" s="78" t="n"/>
      <c r="S20" s="11" t="n"/>
      <c r="T20" s="11" t="n"/>
      <c r="U20" s="16" t="n"/>
      <c r="V20" s="78" t="n"/>
      <c r="W20" s="78" t="n"/>
      <c r="X20" s="78" t="n"/>
      <c r="Y20" s="78" t="n"/>
      <c r="Z20" s="11" t="n"/>
      <c r="AA20" s="11" t="n"/>
      <c r="AB20" s="16" t="n"/>
      <c r="AC20" s="78" t="n"/>
      <c r="AD20" s="78" t="n"/>
      <c r="AE20" s="78" t="n"/>
      <c r="AF20" s="78" t="n"/>
      <c r="AG20" s="11" t="n"/>
      <c r="AH20" s="11" t="n"/>
      <c r="AI20" s="10" t="n"/>
      <c r="AJ20" s="78">
        <f>IF(COUNT(E20:AI20)=0,"",COUNT(E20:AI20))</f>
        <v/>
      </c>
      <c r="AK20" s="78">
        <f>IF(COUNT(E20:AI20)=0,"",SUM(E20:AI20))</f>
        <v/>
      </c>
    </row>
    <row r="21" ht="15.75" customHeight="1" thickBot="1">
      <c r="A21" s="78" t="n">
        <v>3</v>
      </c>
      <c r="B21" s="26" t="inlineStr">
        <is>
          <t>Аралова Зебо Баратовна</t>
        </is>
      </c>
      <c r="C21" s="20" t="inlineStr">
        <is>
          <t>Хисобчи</t>
        </is>
      </c>
      <c r="D21" s="19" t="inlineStr">
        <is>
          <t>Бошқарув апарати мутахассиси</t>
        </is>
      </c>
      <c r="E21" s="11" t="n"/>
      <c r="F21" s="11" t="n"/>
      <c r="G21" s="78" t="n"/>
      <c r="H21" s="78" t="n"/>
      <c r="I21" s="78" t="n"/>
      <c r="J21" s="78" t="n"/>
      <c r="K21" s="78" t="n"/>
      <c r="L21" s="11" t="n"/>
      <c r="M21" s="11" t="n"/>
      <c r="N21" s="78" t="n"/>
      <c r="O21" s="78" t="n"/>
      <c r="P21" s="78" t="n"/>
      <c r="Q21" s="78" t="n"/>
      <c r="R21" s="78" t="n"/>
      <c r="S21" s="11" t="n"/>
      <c r="T21" s="11" t="n"/>
      <c r="U21" s="16" t="n"/>
      <c r="V21" s="78" t="n"/>
      <c r="W21" s="78" t="n"/>
      <c r="X21" s="78" t="n"/>
      <c r="Y21" s="78" t="n"/>
      <c r="Z21" s="11" t="n"/>
      <c r="AA21" s="11" t="n"/>
      <c r="AB21" s="16" t="n"/>
      <c r="AC21" s="78" t="n"/>
      <c r="AD21" s="78" t="n"/>
      <c r="AE21" s="78" t="n"/>
      <c r="AF21" s="78" t="n"/>
      <c r="AG21" s="11" t="n"/>
      <c r="AH21" s="11" t="n"/>
      <c r="AI21" s="10" t="n"/>
      <c r="AJ21" s="78">
        <f>IF(COUNT(E21:AI21)=0,"",COUNT(E21:AI21))</f>
        <v/>
      </c>
      <c r="AK21" s="78">
        <f>IF(COUNT(E21:AI21)=0,"",SUM(E21:AI21))</f>
        <v/>
      </c>
    </row>
    <row r="22" ht="15" customHeight="1" thickBot="1">
      <c r="A22" s="78" t="n">
        <v>4</v>
      </c>
      <c r="B22" s="26" t="inlineStr">
        <is>
          <t>Меликмуродов Асадулло  Рахматуллаевич</t>
        </is>
      </c>
      <c r="C22" s="20" t="inlineStr">
        <is>
          <t>Главныий механик</t>
        </is>
      </c>
      <c r="D22" s="19" t="inlineStr">
        <is>
          <t>Бошқарув апарати мутахассиси</t>
        </is>
      </c>
      <c r="E22" s="11" t="n"/>
      <c r="F22" s="11" t="n"/>
      <c r="G22" s="78" t="n"/>
      <c r="H22" s="78" t="n"/>
      <c r="I22" s="78" t="n"/>
      <c r="J22" s="78" t="n"/>
      <c r="K22" s="78" t="n"/>
      <c r="L22" s="11" t="n"/>
      <c r="M22" s="11" t="n"/>
      <c r="N22" s="78" t="n"/>
      <c r="O22" s="78" t="n"/>
      <c r="P22" s="78" t="n"/>
      <c r="Q22" s="78" t="n"/>
      <c r="R22" s="78" t="n"/>
      <c r="S22" s="11" t="n"/>
      <c r="T22" s="11" t="n"/>
      <c r="U22" s="16" t="n"/>
      <c r="V22" s="78" t="n"/>
      <c r="W22" s="78" t="n"/>
      <c r="X22" s="78" t="n"/>
      <c r="Y22" s="78" t="n"/>
      <c r="Z22" s="11" t="n"/>
      <c r="AA22" s="11" t="n"/>
      <c r="AB22" s="16" t="n"/>
      <c r="AC22" s="78" t="n"/>
      <c r="AD22" s="78" t="n"/>
      <c r="AE22" s="78" t="n"/>
      <c r="AF22" s="78" t="n"/>
      <c r="AG22" s="11" t="n"/>
      <c r="AH22" s="11" t="n"/>
      <c r="AI22" s="10" t="n"/>
      <c r="AJ22" s="78">
        <f>IF(COUNT(E22:AI22)=0,"",COUNT(E22:AI22))</f>
        <v/>
      </c>
      <c r="AK22" s="78">
        <f>IF(COUNT(E22:AI22)=0,"",SUM(E22:AI22))</f>
        <v/>
      </c>
    </row>
    <row r="23" ht="15" customHeight="1" thickBot="1">
      <c r="A23" s="78" t="n">
        <v>5</v>
      </c>
      <c r="B23" s="26" t="inlineStr">
        <is>
          <t>Махмудов  Бахтиёр Юнус угли</t>
        </is>
      </c>
      <c r="C23" s="29" t="inlineStr">
        <is>
          <t>Инженер ОТК</t>
        </is>
      </c>
      <c r="D23" s="19" t="inlineStr">
        <is>
          <t>Бошқарув апарати мутахассиси</t>
        </is>
      </c>
      <c r="E23" s="11" t="n"/>
      <c r="F23" s="11" t="n"/>
      <c r="G23" s="78" t="n"/>
      <c r="H23" s="78" t="n"/>
      <c r="I23" s="78" t="n"/>
      <c r="J23" s="78" t="n"/>
      <c r="K23" s="78" t="n"/>
      <c r="L23" s="11" t="n"/>
      <c r="M23" s="11" t="n"/>
      <c r="N23" s="78" t="n"/>
      <c r="O23" s="78" t="n"/>
      <c r="P23" s="78" t="n"/>
      <c r="Q23" s="78" t="n"/>
      <c r="R23" s="78" t="n"/>
      <c r="S23" s="11" t="n"/>
      <c r="T23" s="11" t="n"/>
      <c r="U23" s="16" t="n"/>
      <c r="V23" s="78" t="n"/>
      <c r="W23" s="78" t="n"/>
      <c r="X23" s="78" t="n"/>
      <c r="Y23" s="78" t="n"/>
      <c r="Z23" s="11" t="n"/>
      <c r="AA23" s="11" t="n"/>
      <c r="AB23" s="16" t="n"/>
      <c r="AC23" s="78" t="n"/>
      <c r="AD23" s="78" t="n"/>
      <c r="AE23" s="78" t="n"/>
      <c r="AF23" s="78" t="n"/>
      <c r="AG23" s="11" t="n"/>
      <c r="AH23" s="11" t="n"/>
      <c r="AI23" s="10" t="n"/>
      <c r="AJ23" s="78">
        <f>IF(COUNT(E23:AI23)=0,"",COUNT(E23:AI23))</f>
        <v/>
      </c>
      <c r="AK23" s="78">
        <f>IF(COUNT(E23:AI23)=0,"",SUM(E23:AI23))</f>
        <v/>
      </c>
    </row>
    <row r="24" ht="15" customHeight="1" thickBot="1">
      <c r="A24" s="78" t="n">
        <v>6</v>
      </c>
      <c r="B24" s="26" t="inlineStr">
        <is>
          <t>Мелибойев  Лукмон Файзуллаевич</t>
        </is>
      </c>
      <c r="C24" s="20" t="inlineStr">
        <is>
          <t>Инженер ТБ</t>
        </is>
      </c>
      <c r="D24" s="19" t="inlineStr">
        <is>
          <t>Бошқарув апарати мутахассиси</t>
        </is>
      </c>
      <c r="E24" s="11" t="n"/>
      <c r="F24" s="11" t="n"/>
      <c r="G24" s="78" t="n"/>
      <c r="H24" s="78" t="n"/>
      <c r="I24" s="78" t="n"/>
      <c r="J24" s="78" t="n"/>
      <c r="K24" s="78" t="n"/>
      <c r="L24" s="11" t="n"/>
      <c r="M24" s="11" t="n"/>
      <c r="N24" s="78" t="n"/>
      <c r="O24" s="78" t="n"/>
      <c r="P24" s="78" t="n"/>
      <c r="Q24" s="78" t="n"/>
      <c r="R24" s="78" t="n"/>
      <c r="S24" s="11" t="n"/>
      <c r="T24" s="11" t="n"/>
      <c r="U24" s="16" t="n"/>
      <c r="V24" s="78" t="n"/>
      <c r="W24" s="78" t="n"/>
      <c r="X24" s="78" t="n"/>
      <c r="Y24" s="78" t="n"/>
      <c r="Z24" s="11" t="n"/>
      <c r="AA24" s="11" t="n"/>
      <c r="AB24" s="16" t="n"/>
      <c r="AC24" s="78" t="n"/>
      <c r="AD24" s="78" t="n"/>
      <c r="AE24" s="78" t="n"/>
      <c r="AF24" s="78" t="n"/>
      <c r="AG24" s="11" t="n"/>
      <c r="AH24" s="11" t="n"/>
      <c r="AI24" s="10" t="n"/>
      <c r="AJ24" s="78">
        <f>IF(COUNT(E24:AI24)=0,"",COUNT(E24:AI24))</f>
        <v/>
      </c>
      <c r="AK24" s="78">
        <f>IF(COUNT(E24:AI24)=0,"",SUM(E24:AI24))</f>
        <v/>
      </c>
    </row>
    <row r="25" ht="16.5" customHeight="1" thickBot="1">
      <c r="A25" s="78" t="n">
        <v>7</v>
      </c>
      <c r="B25" s="26" t="inlineStr">
        <is>
          <t>Хакбердиев Шахзод Фарход угли</t>
        </is>
      </c>
      <c r="C25" s="20" t="inlineStr">
        <is>
          <t>Омбор мудири-механик</t>
        </is>
      </c>
      <c r="D25" s="19" t="inlineStr">
        <is>
          <t>Бошқарув апарати мутахассиси</t>
        </is>
      </c>
      <c r="E25" s="11" t="n"/>
      <c r="F25" s="11" t="n"/>
      <c r="G25" s="78" t="n"/>
      <c r="H25" s="78" t="n"/>
      <c r="I25" s="78" t="n"/>
      <c r="J25" s="78" t="n"/>
      <c r="K25" s="78" t="n"/>
      <c r="L25" s="11" t="n"/>
      <c r="M25" s="11" t="n"/>
      <c r="N25" s="78" t="n"/>
      <c r="O25" s="78" t="n"/>
      <c r="P25" s="78" t="n"/>
      <c r="Q25" s="78" t="n"/>
      <c r="R25" s="78" t="n"/>
      <c r="S25" s="11" t="n"/>
      <c r="T25" s="11" t="n"/>
      <c r="U25" s="16" t="n"/>
      <c r="V25" s="78" t="n"/>
      <c r="W25" s="78" t="n"/>
      <c r="X25" s="78" t="n"/>
      <c r="Y25" s="78" t="n"/>
      <c r="Z25" s="11" t="n"/>
      <c r="AA25" s="11" t="n"/>
      <c r="AB25" s="16" t="n"/>
      <c r="AC25" s="78" t="n"/>
      <c r="AD25" s="78" t="n"/>
      <c r="AE25" s="78" t="n"/>
      <c r="AF25" s="78" t="n"/>
      <c r="AG25" s="11" t="n"/>
      <c r="AH25" s="11" t="n"/>
      <c r="AI25" s="10" t="n"/>
      <c r="AJ25" s="78">
        <f>IF(COUNT(E25:AI25)=0,"",COUNT(E25:AI25))</f>
        <v/>
      </c>
      <c r="AK25" s="78">
        <f>IF(COUNT(E25:AI25)=0,"",SUM(E25:AI25))</f>
        <v/>
      </c>
    </row>
    <row r="26" ht="15.75" customHeight="1" thickBot="1">
      <c r="A26" s="78" t="n">
        <v>8</v>
      </c>
      <c r="B26" s="20" t="inlineStr">
        <is>
          <t>Холмирзоева  Дилобар  Тоир кизи</t>
        </is>
      </c>
      <c r="C26" s="20" t="inlineStr">
        <is>
          <t>Отдел кадр</t>
        </is>
      </c>
      <c r="D26" s="19" t="inlineStr">
        <is>
          <t>Бошқарув апарати мутахассиси</t>
        </is>
      </c>
      <c r="E26" s="11" t="n"/>
      <c r="F26" s="11" t="n"/>
      <c r="G26" s="78" t="n"/>
      <c r="H26" s="78" t="n"/>
      <c r="I26" s="78" t="n"/>
      <c r="J26" s="78" t="n"/>
      <c r="K26" s="78" t="n"/>
      <c r="L26" s="11" t="n"/>
      <c r="M26" s="11" t="n"/>
      <c r="N26" s="78" t="n"/>
      <c r="O26" s="78" t="n"/>
      <c r="P26" s="78" t="n"/>
      <c r="Q26" s="78" t="n"/>
      <c r="R26" s="78" t="n"/>
      <c r="S26" s="11" t="n"/>
      <c r="T26" s="11" t="n"/>
      <c r="U26" s="16" t="n"/>
      <c r="V26" s="78" t="n"/>
      <c r="W26" s="78" t="n"/>
      <c r="X26" s="78" t="n"/>
      <c r="Y26" s="78" t="n"/>
      <c r="Z26" s="11" t="n"/>
      <c r="AA26" s="11" t="n"/>
      <c r="AB26" s="16" t="n"/>
      <c r="AC26" s="78" t="n"/>
      <c r="AD26" s="78" t="n"/>
      <c r="AE26" s="78" t="n"/>
      <c r="AF26" s="78" t="n"/>
      <c r="AG26" s="11" t="n"/>
      <c r="AH26" s="11" t="n"/>
      <c r="AI26" s="10" t="n"/>
      <c r="AJ26" s="78">
        <f>IF(COUNT(E26:AI26)=0,"",COUNT(E26:AI26))</f>
        <v/>
      </c>
      <c r="AK26" s="78">
        <f>IF(COUNT(E26:AI26)=0,"",SUM(E26:AI26))</f>
        <v/>
      </c>
    </row>
    <row r="27" ht="13.5" customHeight="1" thickBot="1">
      <c r="A27" s="78" t="n">
        <v>9</v>
      </c>
      <c r="B27" s="28" t="inlineStr">
        <is>
          <t>Худойназаров Самандар Алижон ўғли</t>
        </is>
      </c>
      <c r="C27" s="20" t="inlineStr">
        <is>
          <t>Дастурчи</t>
        </is>
      </c>
      <c r="D27" s="19" t="inlineStr">
        <is>
          <t>Бошқарув апарати мутахассиси</t>
        </is>
      </c>
      <c r="E27" s="11" t="n"/>
      <c r="F27" s="11" t="n"/>
      <c r="G27" s="78" t="n"/>
      <c r="H27" s="78" t="n"/>
      <c r="I27" s="78" t="n"/>
      <c r="J27" s="78" t="n"/>
      <c r="K27" s="78" t="n"/>
      <c r="L27" s="11" t="n"/>
      <c r="M27" s="11" t="n"/>
      <c r="N27" s="78" t="n"/>
      <c r="O27" s="78" t="n"/>
      <c r="P27" s="78" t="n"/>
      <c r="Q27" s="78" t="n"/>
      <c r="R27" s="78" t="n"/>
      <c r="S27" s="11" t="n"/>
      <c r="T27" s="11" t="n"/>
      <c r="U27" s="16" t="n"/>
      <c r="V27" s="78" t="n"/>
      <c r="W27" s="78" t="n"/>
      <c r="X27" s="78" t="n"/>
      <c r="Y27" s="78" t="n"/>
      <c r="Z27" s="11" t="n"/>
      <c r="AA27" s="11" t="n"/>
      <c r="AB27" s="16" t="n"/>
      <c r="AC27" s="78" t="n"/>
      <c r="AD27" s="78" t="n"/>
      <c r="AE27" s="78" t="n"/>
      <c r="AF27" s="78" t="n"/>
      <c r="AG27" s="11" t="n"/>
      <c r="AH27" s="11" t="n"/>
      <c r="AI27" s="10" t="n"/>
      <c r="AJ27" s="78">
        <f>IF(COUNT(E27:AI27)=0,"",COUNT(E27:AI27))</f>
        <v/>
      </c>
      <c r="AK27" s="78">
        <f>IF(COUNT(E27:AI27)=0,"",SUM(E27:AI27))</f>
        <v/>
      </c>
    </row>
    <row r="28" ht="15" customHeight="1" thickBot="1">
      <c r="A28" s="78" t="n">
        <v>10</v>
      </c>
      <c r="B28" s="27" t="inlineStr">
        <is>
          <t>Бобоев Илхом Абдукаримов</t>
        </is>
      </c>
      <c r="C28" s="20" t="inlineStr">
        <is>
          <t>Цех устаси №1</t>
        </is>
      </c>
      <c r="D28" s="19" t="inlineStr">
        <is>
          <t>Бошқарув апарати мутахассиси</t>
        </is>
      </c>
      <c r="E28" s="11" t="n"/>
      <c r="F28" s="11" t="n"/>
      <c r="G28" s="78" t="n"/>
      <c r="H28" s="78" t="n"/>
      <c r="I28" s="78" t="n"/>
      <c r="J28" s="78" t="n"/>
      <c r="K28" s="78" t="n"/>
      <c r="L28" s="11" t="n"/>
      <c r="M28" s="11" t="n"/>
      <c r="N28" s="78" t="n"/>
      <c r="O28" s="78" t="n"/>
      <c r="P28" s="78" t="n"/>
      <c r="Q28" s="78" t="n"/>
      <c r="R28" s="78" t="n"/>
      <c r="S28" s="11" t="n"/>
      <c r="T28" s="11" t="n"/>
      <c r="U28" s="78" t="n"/>
      <c r="V28" s="78" t="n"/>
      <c r="W28" s="78" t="n"/>
      <c r="X28" s="78" t="n"/>
      <c r="Y28" s="78" t="n"/>
      <c r="Z28" s="11" t="n"/>
      <c r="AA28" s="11" t="n"/>
      <c r="AB28" s="16" t="n"/>
      <c r="AC28" s="78" t="n"/>
      <c r="AD28" s="78" t="n"/>
      <c r="AE28" s="78" t="n"/>
      <c r="AF28" s="78" t="n"/>
      <c r="AG28" s="11" t="n"/>
      <c r="AH28" s="11" t="n"/>
      <c r="AI28" s="10" t="n"/>
      <c r="AJ28" s="78">
        <f>IF(COUNT(E28:AI28)=0,"",COUNT(E28:AI28))</f>
        <v/>
      </c>
      <c r="AK28" s="78">
        <f>IF(COUNT(E28:AI28)=0,"",SUM(E28:AI28))</f>
        <v/>
      </c>
    </row>
    <row r="29" ht="15.75" customHeight="1" thickBot="1">
      <c r="A29" s="78" t="n">
        <v>11</v>
      </c>
      <c r="B29" s="26" t="inlineStr">
        <is>
          <t>Ашурова Юлдузхон</t>
        </is>
      </c>
      <c r="C29" s="20" t="inlineStr">
        <is>
          <t>Ошпаз</t>
        </is>
      </c>
      <c r="D29" s="19" t="inlineStr">
        <is>
          <t>Хизмат кўрсатиш бўлими</t>
        </is>
      </c>
      <c r="E29" s="11" t="n"/>
      <c r="F29" s="11" t="n"/>
      <c r="G29" s="78" t="n"/>
      <c r="H29" s="78" t="n"/>
      <c r="I29" s="78" t="n"/>
      <c r="J29" s="78" t="n"/>
      <c r="K29" s="78" t="n"/>
      <c r="L29" s="11" t="n"/>
      <c r="M29" s="11" t="n"/>
      <c r="N29" s="78" t="n"/>
      <c r="O29" s="78" t="n"/>
      <c r="P29" s="78" t="n"/>
      <c r="Q29" s="78" t="n"/>
      <c r="R29" s="78" t="n"/>
      <c r="S29" s="11" t="n"/>
      <c r="T29" s="11" t="n"/>
      <c r="U29" s="16" t="n"/>
      <c r="V29" s="78" t="n"/>
      <c r="W29" s="78" t="n"/>
      <c r="X29" s="78" t="n"/>
      <c r="Y29" s="78" t="n"/>
      <c r="Z29" s="11" t="n"/>
      <c r="AA29" s="11" t="n"/>
      <c r="AB29" s="16" t="n"/>
      <c r="AC29" s="78" t="n"/>
      <c r="AD29" s="78" t="n"/>
      <c r="AE29" s="78" t="n"/>
      <c r="AF29" s="78" t="n"/>
      <c r="AG29" s="11" t="n"/>
      <c r="AH29" s="11" t="n"/>
      <c r="AI29" s="10" t="n"/>
      <c r="AJ29" s="78">
        <f>IF(COUNT(E29:AI29)=0,"",COUNT(E29:AI29))</f>
        <v/>
      </c>
      <c r="AK29" s="78">
        <f>IF(COUNT(E29:AI29)=0,"",SUM(E29:AI29))</f>
        <v/>
      </c>
    </row>
    <row r="30" ht="17.25" customHeight="1" thickBot="1">
      <c r="A30" s="78" t="n">
        <v>12</v>
      </c>
      <c r="B30" s="26" t="inlineStr">
        <is>
          <t>Рахматуллаева Шарифа  Мингбобоевна</t>
        </is>
      </c>
      <c r="C30" s="20" t="inlineStr">
        <is>
          <t>Фаррош</t>
        </is>
      </c>
      <c r="D30" s="19" t="inlineStr">
        <is>
          <t>Хизмат кўрсатиш бўлими</t>
        </is>
      </c>
      <c r="E30" s="11" t="n"/>
      <c r="F30" s="11" t="n"/>
      <c r="G30" s="78" t="n"/>
      <c r="H30" s="11" t="n"/>
      <c r="I30" s="78" t="n"/>
      <c r="J30" s="11" t="n"/>
      <c r="K30" s="78" t="n"/>
      <c r="L30" s="11" t="n"/>
      <c r="M30" s="11" t="n"/>
      <c r="N30" s="78" t="n"/>
      <c r="O30" s="11" t="n"/>
      <c r="P30" s="78" t="n"/>
      <c r="Q30" s="11" t="n"/>
      <c r="R30" s="78" t="n"/>
      <c r="S30" s="11" t="n"/>
      <c r="T30" s="11" t="n"/>
      <c r="U30" s="16" t="n"/>
      <c r="V30" s="11" t="n"/>
      <c r="W30" s="78" t="n"/>
      <c r="X30" s="11" t="n"/>
      <c r="Y30" s="78" t="n"/>
      <c r="Z30" s="11" t="n"/>
      <c r="AA30" s="11" t="n"/>
      <c r="AB30" s="16" t="n"/>
      <c r="AC30" s="11" t="n"/>
      <c r="AD30" s="78" t="n"/>
      <c r="AE30" s="11" t="n"/>
      <c r="AF30" s="78" t="n"/>
      <c r="AG30" s="11" t="n"/>
      <c r="AH30" s="11" t="n"/>
      <c r="AI30" s="10" t="n"/>
      <c r="AJ30" s="78">
        <f>IF(COUNT(E30:AI30)=0,"",COUNT(E30:AI30))</f>
        <v/>
      </c>
      <c r="AK30" s="78">
        <f>IF(COUNT(E30:AI30)=0,"",SUM(E30:AI30))</f>
        <v/>
      </c>
    </row>
    <row r="31" ht="16.5" customHeight="1" thickBot="1">
      <c r="A31" s="78" t="n">
        <v>13</v>
      </c>
      <c r="B31" s="26" t="inlineStr">
        <is>
          <t>Нозимов Исматилло  Нормуродович</t>
        </is>
      </c>
      <c r="C31" s="20" t="inlineStr">
        <is>
          <t xml:space="preserve">Буйокчи сувокчи </t>
        </is>
      </c>
      <c r="D31" s="19" t="inlineStr">
        <is>
          <t>Хизмат кўрсатиш бўлими</t>
        </is>
      </c>
      <c r="E31" s="11" t="n"/>
      <c r="F31" s="11" t="n"/>
      <c r="G31" s="78" t="n"/>
      <c r="H31" s="78" t="n"/>
      <c r="I31" s="78" t="n"/>
      <c r="J31" s="78" t="n"/>
      <c r="K31" s="78" t="n"/>
      <c r="L31" s="11" t="n"/>
      <c r="M31" s="11" t="n"/>
      <c r="N31" s="78" t="n"/>
      <c r="O31" s="78" t="n"/>
      <c r="P31" s="78" t="n"/>
      <c r="Q31" s="78" t="n"/>
      <c r="R31" s="78" t="n"/>
      <c r="S31" s="11" t="n"/>
      <c r="T31" s="11" t="n"/>
      <c r="U31" s="16" t="n"/>
      <c r="V31" s="78" t="n"/>
      <c r="W31" s="78" t="n"/>
      <c r="X31" s="78" t="n"/>
      <c r="Y31" s="78" t="n"/>
      <c r="Z31" s="11" t="n"/>
      <c r="AA31" s="11" t="n"/>
      <c r="AB31" s="16" t="n"/>
      <c r="AC31" s="78" t="n"/>
      <c r="AD31" s="78" t="n"/>
      <c r="AE31" s="78" t="n"/>
      <c r="AF31" s="78" t="n"/>
      <c r="AG31" s="11" t="n"/>
      <c r="AH31" s="11" t="n"/>
      <c r="AI31" s="10" t="n"/>
      <c r="AJ31" s="78">
        <f>IF(COUNT(E31:AI31)=0,"",COUNT(E31:AI31))</f>
        <v/>
      </c>
      <c r="AK31" s="78">
        <f>IF(COUNT(E31:AI31)=0,"",SUM(E31:AI31))</f>
        <v/>
      </c>
    </row>
    <row r="32" ht="15.75" customHeight="1" thickBot="1">
      <c r="A32" s="78" t="n">
        <v>14</v>
      </c>
      <c r="B32" s="25" t="inlineStr">
        <is>
          <t>Шарипов Абдумалик Гапарович</t>
        </is>
      </c>
      <c r="C32" s="20" t="inlineStr">
        <is>
          <t>Электромонтёр</t>
        </is>
      </c>
      <c r="D32" s="19" t="inlineStr">
        <is>
          <t>Бош механик бўлими</t>
        </is>
      </c>
      <c r="E32" s="11" t="n"/>
      <c r="F32" s="11" t="n"/>
      <c r="G32" s="78" t="n"/>
      <c r="H32" s="78" t="n"/>
      <c r="I32" s="78" t="n"/>
      <c r="J32" s="78" t="n"/>
      <c r="K32" s="78" t="n"/>
      <c r="L32" s="11" t="n"/>
      <c r="M32" s="11" t="n"/>
      <c r="N32" s="78" t="n"/>
      <c r="O32" s="78" t="n"/>
      <c r="P32" s="78" t="n"/>
      <c r="Q32" s="78" t="n"/>
      <c r="R32" s="78" t="n"/>
      <c r="S32" s="11" t="n"/>
      <c r="T32" s="11" t="n"/>
      <c r="U32" s="16" t="n"/>
      <c r="V32" s="78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0" t="n"/>
      <c r="AJ32" s="78">
        <f>IF(COUNT(E32:AI32)=0,"",COUNT(E32:AI32))</f>
        <v/>
      </c>
      <c r="AK32" s="78">
        <f>IF(COUNT(E32:AI32)=0,"",SUM(E32:AI32))</f>
        <v/>
      </c>
    </row>
    <row r="33" ht="15.75" customHeight="1" thickBot="1">
      <c r="A33" s="78" t="n">
        <v>15</v>
      </c>
      <c r="B33" s="25" t="inlineStr">
        <is>
          <t>Бабаев Собир Ниёзмуродович</t>
        </is>
      </c>
      <c r="C33" s="20" t="inlineStr">
        <is>
          <t>Хайдовчи (Булдозер)</t>
        </is>
      </c>
      <c r="D33" s="19" t="inlineStr">
        <is>
          <t>Бош механик бўлими</t>
        </is>
      </c>
      <c r="E33" s="11" t="n"/>
      <c r="F33" s="11" t="n"/>
      <c r="G33" s="78" t="n"/>
      <c r="H33" s="78" t="n"/>
      <c r="I33" s="78" t="n"/>
      <c r="J33" s="78" t="n"/>
      <c r="K33" s="78" t="n"/>
      <c r="L33" s="11" t="n"/>
      <c r="M33" s="11" t="n"/>
      <c r="N33" s="78" t="n"/>
      <c r="O33" s="78" t="n"/>
      <c r="P33" s="78" t="n"/>
      <c r="Q33" s="78" t="n"/>
      <c r="R33" s="78" t="n"/>
      <c r="S33" s="11" t="n"/>
      <c r="T33" s="11" t="n"/>
      <c r="U33" s="16" t="n"/>
      <c r="V33" s="78" t="n"/>
      <c r="W33" s="78" t="n"/>
      <c r="X33" s="78" t="n"/>
      <c r="Y33" s="78" t="n"/>
      <c r="Z33" s="11" t="n"/>
      <c r="AA33" s="11" t="n"/>
      <c r="AB33" s="16" t="n"/>
      <c r="AC33" s="78" t="n"/>
      <c r="AD33" s="78" t="n"/>
      <c r="AE33" s="78" t="n"/>
      <c r="AF33" s="78" t="n"/>
      <c r="AG33" s="11" t="n"/>
      <c r="AH33" s="11" t="n"/>
      <c r="AI33" s="10" t="n"/>
      <c r="AJ33" s="78">
        <f>IF(COUNT(E33:AI33)=0,"",COUNT(E33:AI33))</f>
        <v/>
      </c>
      <c r="AK33" s="78">
        <f>IF(COUNT(E33:AI33)=0,"",SUM(E33:AI33))</f>
        <v/>
      </c>
    </row>
    <row r="34" ht="15.75" customHeight="1" thickBot="1">
      <c r="A34" s="78" t="n">
        <v>16</v>
      </c>
      <c r="B34" s="25" t="inlineStr">
        <is>
          <t>Чориев Туракул  Аллоёрович</t>
        </is>
      </c>
      <c r="C34" s="20" t="inlineStr">
        <is>
          <t>Хайдовчи (Тягач)</t>
        </is>
      </c>
      <c r="D34" s="19" t="inlineStr">
        <is>
          <t>Бош механик бўлими</t>
        </is>
      </c>
      <c r="E34" s="11" t="n"/>
      <c r="F34" s="11" t="n"/>
      <c r="G34" s="78" t="n"/>
      <c r="H34" s="78" t="n"/>
      <c r="I34" s="78" t="n"/>
      <c r="J34" s="78" t="n"/>
      <c r="K34" s="78" t="n"/>
      <c r="L34" s="11" t="n"/>
      <c r="M34" s="11" t="n"/>
      <c r="N34" s="78" t="n"/>
      <c r="O34" s="78" t="n"/>
      <c r="P34" s="78" t="n"/>
      <c r="Q34" s="78" t="n"/>
      <c r="R34" s="78" t="n"/>
      <c r="S34" s="11" t="n"/>
      <c r="T34" s="11" t="n"/>
      <c r="U34" s="16" t="n"/>
      <c r="V34" s="78" t="n"/>
      <c r="W34" s="78" t="n"/>
      <c r="X34" s="78" t="n"/>
      <c r="Y34" s="78" t="n"/>
      <c r="Z34" s="11" t="n"/>
      <c r="AA34" s="11" t="n"/>
      <c r="AB34" s="16" t="n"/>
      <c r="AC34" s="78" t="n"/>
      <c r="AD34" s="78" t="n"/>
      <c r="AE34" s="78" t="n"/>
      <c r="AF34" s="78" t="n"/>
      <c r="AG34" s="11" t="n"/>
      <c r="AH34" s="11" t="n"/>
      <c r="AI34" s="10" t="n"/>
      <c r="AJ34" s="78">
        <f>IF(COUNT(E34:AI34)=0,"",COUNT(E34:AI34))</f>
        <v/>
      </c>
      <c r="AK34" s="78">
        <f>IF(COUNT(E34:AI34)=0,"",SUM(E34:AI34))</f>
        <v/>
      </c>
    </row>
    <row r="35" ht="15" customHeight="1" thickBot="1">
      <c r="A35" s="78" t="n">
        <v>17</v>
      </c>
      <c r="B35" s="25" t="inlineStr">
        <is>
          <t>Муродуллаев Шухрат Асатулло угли</t>
        </is>
      </c>
      <c r="C35" s="20" t="inlineStr">
        <is>
          <t>Хайдовчи (Самосвал)</t>
        </is>
      </c>
      <c r="D35" s="19" t="inlineStr">
        <is>
          <t>Бош механик бўлими</t>
        </is>
      </c>
      <c r="E35" s="11" t="n"/>
      <c r="F35" s="11" t="n"/>
      <c r="G35" s="78" t="n"/>
      <c r="H35" s="78" t="n"/>
      <c r="I35" s="78" t="n"/>
      <c r="J35" s="78" t="n"/>
      <c r="K35" s="78" t="n"/>
      <c r="L35" s="11" t="n"/>
      <c r="M35" s="11" t="n"/>
      <c r="N35" s="78" t="n"/>
      <c r="O35" s="78" t="n"/>
      <c r="P35" s="78" t="n"/>
      <c r="Q35" s="78" t="n"/>
      <c r="R35" s="78" t="n"/>
      <c r="S35" s="11" t="n"/>
      <c r="T35" s="11" t="n"/>
      <c r="U35" s="16" t="n"/>
      <c r="V35" s="78" t="n"/>
      <c r="W35" s="78" t="n"/>
      <c r="X35" s="78" t="n"/>
      <c r="Y35" s="78" t="n"/>
      <c r="Z35" s="11" t="n"/>
      <c r="AA35" s="11" t="n"/>
      <c r="AB35" s="16" t="n"/>
      <c r="AC35" s="78" t="n"/>
      <c r="AD35" s="78" t="n"/>
      <c r="AE35" s="78" t="n"/>
      <c r="AF35" s="78" t="n"/>
      <c r="AG35" s="11" t="n"/>
      <c r="AH35" s="11" t="n"/>
      <c r="AI35" s="10" t="n"/>
      <c r="AJ35" s="78">
        <f>IF(COUNT(E35:AI35)=0,"",COUNT(E35:AI35))</f>
        <v/>
      </c>
      <c r="AK35" s="78">
        <f>IF(COUNT(E35:AI35)=0,"",SUM(E35:AI35))</f>
        <v/>
      </c>
    </row>
    <row r="36" ht="15.75" customHeight="1" thickBot="1">
      <c r="A36" s="78" t="n">
        <v>18</v>
      </c>
      <c r="B36" s="25" t="inlineStr">
        <is>
          <t xml:space="preserve">Тошев Абдулхай Нарзуллаевич </t>
        </is>
      </c>
      <c r="C36" s="20" t="inlineStr">
        <is>
          <t>Электрпайвандчи</t>
        </is>
      </c>
      <c r="D36" s="19" t="inlineStr">
        <is>
          <t>Бош механик бўлими</t>
        </is>
      </c>
      <c r="E36" s="11" t="n"/>
      <c r="F36" s="11" t="n"/>
      <c r="G36" s="78" t="n"/>
      <c r="H36" s="78" t="n"/>
      <c r="I36" s="78" t="n"/>
      <c r="J36" s="78" t="n"/>
      <c r="K36" s="78" t="n"/>
      <c r="L36" s="11" t="n"/>
      <c r="M36" s="11" t="n"/>
      <c r="N36" s="78" t="n"/>
      <c r="O36" s="78" t="n"/>
      <c r="P36" s="78" t="n"/>
      <c r="Q36" s="78" t="n"/>
      <c r="R36" s="78" t="n"/>
      <c r="S36" s="11" t="n"/>
      <c r="T36" s="11" t="n"/>
      <c r="U36" s="16" t="n"/>
      <c r="V36" s="78" t="n"/>
      <c r="W36" s="78" t="n"/>
      <c r="X36" s="78" t="n"/>
      <c r="Y36" s="78" t="n"/>
      <c r="Z36" s="11" t="n"/>
      <c r="AA36" s="11" t="n"/>
      <c r="AB36" s="16" t="n"/>
      <c r="AC36" s="78" t="n"/>
      <c r="AD36" s="78" t="n"/>
      <c r="AE36" s="78" t="n"/>
      <c r="AF36" s="78" t="n"/>
      <c r="AG36" s="11" t="n"/>
      <c r="AH36" s="11" t="n"/>
      <c r="AI36" s="10" t="n"/>
      <c r="AJ36" s="78">
        <f>IF(COUNT(E36:AI36)=0,"",COUNT(E36:AI36))</f>
        <v/>
      </c>
      <c r="AK36" s="78">
        <f>IF(COUNT(E36:AI36)=0,"",SUM(E36:AI36))</f>
        <v/>
      </c>
    </row>
    <row r="37" ht="18" customHeight="1" thickBot="1">
      <c r="A37" s="78" t="n">
        <v>19</v>
      </c>
      <c r="B37" s="26" t="inlineStr">
        <is>
          <t>Рахимов Шахриддин  Насриддинович</t>
        </is>
      </c>
      <c r="C37" s="20" t="inlineStr">
        <is>
          <t>Котёлщик</t>
        </is>
      </c>
      <c r="D37" s="19" t="inlineStr">
        <is>
          <t xml:space="preserve">Ишлаб чиқариш бўлими </t>
        </is>
      </c>
      <c r="E37" s="11" t="n"/>
      <c r="F37" s="11" t="n"/>
      <c r="G37" s="78" t="n"/>
      <c r="H37" s="78" t="n"/>
      <c r="I37" s="78" t="n"/>
      <c r="J37" s="78" t="n"/>
      <c r="K37" s="78" t="n"/>
      <c r="L37" s="11" t="n"/>
      <c r="M37" s="11" t="n"/>
      <c r="N37" s="78" t="n"/>
      <c r="O37" s="78" t="n"/>
      <c r="P37" s="78" t="n"/>
      <c r="Q37" s="78" t="n"/>
      <c r="R37" s="78" t="n"/>
      <c r="S37" s="11" t="n"/>
      <c r="T37" s="11" t="n"/>
      <c r="U37" s="16" t="n"/>
      <c r="V37" s="78" t="n"/>
      <c r="W37" s="78" t="n"/>
      <c r="X37" s="78" t="n"/>
      <c r="Y37" s="78" t="n"/>
      <c r="Z37" s="11" t="n"/>
      <c r="AA37" s="11" t="n"/>
      <c r="AB37" s="16" t="n"/>
      <c r="AC37" s="78" t="n"/>
      <c r="AD37" s="78" t="n"/>
      <c r="AE37" s="78" t="n"/>
      <c r="AF37" s="78" t="n"/>
      <c r="AG37" s="11" t="n"/>
      <c r="AH37" s="11" t="n"/>
      <c r="AI37" s="10" t="n"/>
      <c r="AJ37" s="78">
        <f>IF(COUNT(E37:AI37)=0,"",COUNT(E37:AI37))</f>
        <v/>
      </c>
      <c r="AK37" s="78">
        <f>IF(COUNT(E37:AI37)=0,"",SUM(E37:AI37))</f>
        <v/>
      </c>
    </row>
    <row r="38" ht="15" customHeight="1" thickBot="1">
      <c r="A38" s="78" t="n">
        <v>20</v>
      </c>
      <c r="B38" s="26" t="inlineStr">
        <is>
          <t>Рахимов Ахлиддин  Насриддинович</t>
        </is>
      </c>
      <c r="C38" s="20" t="inlineStr">
        <is>
          <t>Компрессорчи</t>
        </is>
      </c>
      <c r="D38" s="19" t="inlineStr">
        <is>
          <t xml:space="preserve">Ишлаб чиқариш бўлими </t>
        </is>
      </c>
      <c r="E38" s="11" t="n"/>
      <c r="F38" s="11" t="n"/>
      <c r="G38" s="78" t="n"/>
      <c r="H38" s="78" t="n"/>
      <c r="I38" s="78" t="n"/>
      <c r="J38" s="78" t="n"/>
      <c r="K38" s="78" t="n"/>
      <c r="L38" s="11" t="n"/>
      <c r="M38" s="11" t="n"/>
      <c r="N38" s="78" t="n"/>
      <c r="O38" s="78" t="n"/>
      <c r="P38" s="78" t="n"/>
      <c r="Q38" s="78" t="n"/>
      <c r="R38" s="78" t="n"/>
      <c r="S38" s="11" t="n"/>
      <c r="T38" s="11" t="n"/>
      <c r="U38" s="16" t="n"/>
      <c r="V38" s="78" t="n"/>
      <c r="W38" s="78" t="n"/>
      <c r="X38" s="78" t="n"/>
      <c r="Y38" s="78" t="n"/>
      <c r="Z38" s="11" t="n"/>
      <c r="AA38" s="11" t="n"/>
      <c r="AB38" s="16" t="n"/>
      <c r="AC38" s="78" t="n"/>
      <c r="AD38" s="78" t="n"/>
      <c r="AE38" s="78" t="n"/>
      <c r="AF38" s="78" t="n"/>
      <c r="AG38" s="11" t="n"/>
      <c r="AH38" s="11" t="n"/>
      <c r="AI38" s="10" t="n"/>
      <c r="AJ38" s="78">
        <f>IF(COUNT(E38:AI38)=0,"",COUNT(E38:AI38))</f>
        <v/>
      </c>
      <c r="AK38" s="78">
        <f>IF(COUNT(E38:AI38)=0,"",SUM(E38:AI38))</f>
        <v/>
      </c>
    </row>
    <row r="39" ht="15" customHeight="1" thickBot="1">
      <c r="A39" s="78" t="n">
        <v>21</v>
      </c>
      <c r="B39" s="26" t="inlineStr">
        <is>
          <t>Султонов Абдуфаттох Назарович</t>
        </is>
      </c>
      <c r="C39" s="20" t="inlineStr">
        <is>
          <t>БСУ оператори</t>
        </is>
      </c>
      <c r="D39" s="19" t="inlineStr">
        <is>
          <t xml:space="preserve">Ишлаб чиқариш бўлими </t>
        </is>
      </c>
      <c r="E39" s="11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78">
        <f>IF(COUNT(E39:AI39)=0,"",COUNT(E39:AI39))</f>
        <v/>
      </c>
      <c r="AK39" s="78">
        <f>IF(COUNT(E39:AI39)=0,"",SUM(E39:AI39))</f>
        <v/>
      </c>
    </row>
    <row r="40" ht="15.75" customHeight="1" thickBot="1">
      <c r="A40" s="78" t="n">
        <v>22</v>
      </c>
      <c r="B40" s="26" t="inlineStr">
        <is>
          <t>Султонов Нуриддин Қурбоналиевич</t>
        </is>
      </c>
      <c r="C40" s="20" t="inlineStr">
        <is>
          <t>БСУ оператори</t>
        </is>
      </c>
      <c r="D40" s="19" t="inlineStr">
        <is>
          <t xml:space="preserve">Ишлаб чиқариш бўлими </t>
        </is>
      </c>
      <c r="E40" s="11" t="n"/>
      <c r="F40" s="11" t="n"/>
      <c r="G40" s="78" t="n"/>
      <c r="H40" s="78" t="n"/>
      <c r="I40" s="78" t="n"/>
      <c r="J40" s="78" t="n"/>
      <c r="K40" s="78" t="n"/>
      <c r="L40" s="11" t="n"/>
      <c r="M40" s="11" t="n"/>
      <c r="N40" s="78" t="n"/>
      <c r="O40" s="78" t="n"/>
      <c r="P40" s="78" t="n"/>
      <c r="Q40" s="78" t="n"/>
      <c r="R40" s="78" t="n"/>
      <c r="S40" s="11" t="n"/>
      <c r="T40" s="11" t="n"/>
      <c r="U40" s="16" t="n"/>
      <c r="V40" s="78" t="n"/>
      <c r="W40" s="16" t="n"/>
      <c r="X40" s="78" t="n"/>
      <c r="Y40" s="78" t="n"/>
      <c r="Z40" s="11" t="n"/>
      <c r="AA40" s="11" t="n"/>
      <c r="AB40" s="16" t="n"/>
      <c r="AC40" s="78" t="n"/>
      <c r="AD40" s="78" t="n"/>
      <c r="AE40" s="78" t="n"/>
      <c r="AF40" s="11" t="n"/>
      <c r="AG40" s="11" t="n"/>
      <c r="AH40" s="11" t="n"/>
      <c r="AI40" s="10" t="n"/>
      <c r="AJ40" s="78">
        <f>IF(COUNT(E40:AI40)=0,"",COUNT(E40:AI40))</f>
        <v/>
      </c>
      <c r="AK40" s="78">
        <f>IF(COUNT(E40:AI40)=0,"",SUM(E40:AI40))</f>
        <v/>
      </c>
    </row>
    <row r="41" ht="16.5" customHeight="1" thickBot="1">
      <c r="A41" s="78" t="n">
        <v>23</v>
      </c>
      <c r="B41" s="21" t="inlineStr">
        <is>
          <t xml:space="preserve"> Мўминов Жўрабек Тургунович</t>
        </is>
      </c>
      <c r="C41" s="20" t="inlineStr">
        <is>
          <t>БСУ оператори</t>
        </is>
      </c>
      <c r="D41" s="19" t="inlineStr">
        <is>
          <t xml:space="preserve">Ишлаб чиқариш бўлими </t>
        </is>
      </c>
      <c r="E41" s="11" t="n"/>
      <c r="F41" s="11" t="n"/>
      <c r="G41" s="78" t="n"/>
      <c r="H41" s="78" t="n"/>
      <c r="I41" s="78" t="n"/>
      <c r="J41" s="78" t="n"/>
      <c r="K41" s="78" t="n"/>
      <c r="L41" s="11" t="n"/>
      <c r="M41" s="11" t="n"/>
      <c r="N41" s="78" t="n"/>
      <c r="O41" s="11" t="n"/>
      <c r="P41" s="78" t="n"/>
      <c r="Q41" s="78" t="n"/>
      <c r="R41" s="78" t="n"/>
      <c r="S41" s="11" t="n"/>
      <c r="T41" s="11" t="n"/>
      <c r="U41" s="16" t="n"/>
      <c r="V41" s="78" t="n"/>
      <c r="W41" s="78" t="n"/>
      <c r="X41" s="78" t="n"/>
      <c r="Y41" s="78" t="n"/>
      <c r="Z41" s="11" t="n"/>
      <c r="AA41" s="11" t="n"/>
      <c r="AB41" s="16" t="n"/>
      <c r="AC41" s="78" t="n"/>
      <c r="AD41" s="78" t="n"/>
      <c r="AE41" s="78" t="n"/>
      <c r="AF41" s="78" t="n"/>
      <c r="AG41" s="11" t="n"/>
      <c r="AH41" s="11" t="n"/>
      <c r="AI41" s="10" t="n"/>
      <c r="AJ41" s="78">
        <f>IF(COUNT(E41:AI41)=0,"",COUNT(E41:AI41))</f>
        <v/>
      </c>
      <c r="AK41" s="78">
        <f>IF(COUNT(E41:AI41)=0,"",SUM(E41:AI41))</f>
        <v/>
      </c>
    </row>
    <row r="42" ht="15.75" customHeight="1" thickBot="1">
      <c r="A42" s="78" t="n">
        <v>24</v>
      </c>
      <c r="B42" s="25" t="inlineStr">
        <is>
          <t>Каландаров Холмурод Холбобоевич</t>
        </is>
      </c>
      <c r="C42" s="20" t="inlineStr">
        <is>
          <t>Кран машинист</t>
        </is>
      </c>
      <c r="D42" s="19" t="inlineStr">
        <is>
          <t xml:space="preserve">Ишлаб чиқариш бўлими </t>
        </is>
      </c>
      <c r="E42" s="11" t="n"/>
      <c r="F42" s="11" t="n"/>
      <c r="G42" s="78" t="n"/>
      <c r="H42" s="16" t="n"/>
      <c r="I42" s="78" t="n"/>
      <c r="J42" s="11" t="n"/>
      <c r="K42" s="78" t="n"/>
      <c r="L42" s="11" t="n"/>
      <c r="M42" s="11" t="n"/>
      <c r="N42" s="78" t="n"/>
      <c r="O42" s="11" t="n"/>
      <c r="P42" s="11" t="n"/>
      <c r="Q42" s="11" t="n"/>
      <c r="R42" s="11" t="n"/>
      <c r="S42" s="11" t="n"/>
      <c r="T42" s="11" t="n"/>
      <c r="U42" s="16" t="n"/>
      <c r="V42" s="16" t="n"/>
      <c r="W42" s="78" t="n"/>
      <c r="X42" s="16" t="n"/>
      <c r="Y42" s="16" t="n"/>
      <c r="Z42" s="11" t="n"/>
      <c r="AA42" s="11" t="n"/>
      <c r="AB42" s="16" t="n"/>
      <c r="AC42" s="78" t="n"/>
      <c r="AD42" s="78" t="n"/>
      <c r="AE42" s="78" t="n"/>
      <c r="AF42" s="78" t="n"/>
      <c r="AG42" s="11" t="n"/>
      <c r="AH42" s="11" t="n"/>
      <c r="AI42" s="10" t="n"/>
      <c r="AJ42" s="78">
        <f>IF(COUNT(E42:AI42)=0,"",COUNT(E42:AI42))</f>
        <v/>
      </c>
      <c r="AK42" s="78">
        <f>IF(COUNT(E42:AI42)=0,"",SUM(E42:AI42))</f>
        <v/>
      </c>
    </row>
    <row r="43" ht="17.25" customHeight="1" thickBot="1">
      <c r="A43" s="78" t="n">
        <v>25</v>
      </c>
      <c r="B43" s="26" t="inlineStr">
        <is>
          <t>Ниёзов Сирожиддин Файзиддинович</t>
        </is>
      </c>
      <c r="C43" s="20" t="inlineStr">
        <is>
          <t>Кран машинист</t>
        </is>
      </c>
      <c r="D43" s="19" t="inlineStr">
        <is>
          <t xml:space="preserve">Ишлаб чиқариш бўлими </t>
        </is>
      </c>
      <c r="E43" s="11" t="n"/>
      <c r="F43" s="11" t="n"/>
      <c r="G43" s="78" t="n"/>
      <c r="H43" s="78" t="n"/>
      <c r="I43" s="78" t="n"/>
      <c r="J43" s="78" t="n"/>
      <c r="K43" s="78" t="n"/>
      <c r="L43" s="11" t="n"/>
      <c r="M43" s="11" t="n"/>
      <c r="N43" s="78" t="n"/>
      <c r="O43" s="78" t="n"/>
      <c r="P43" s="78" t="n"/>
      <c r="Q43" s="78" t="n"/>
      <c r="R43" s="78" t="n"/>
      <c r="S43" s="11" t="n"/>
      <c r="T43" s="11" t="n"/>
      <c r="U43" s="16" t="n"/>
      <c r="V43" s="78" t="n"/>
      <c r="W43" s="78" t="n"/>
      <c r="X43" s="16" t="n"/>
      <c r="Y43" s="78" t="n"/>
      <c r="Z43" s="11" t="n"/>
      <c r="AA43" s="11" t="n"/>
      <c r="AB43" s="16" t="n"/>
      <c r="AC43" s="78" t="n"/>
      <c r="AD43" s="78" t="n"/>
      <c r="AE43" s="78" t="n"/>
      <c r="AF43" s="78" t="n"/>
      <c r="AG43" s="11" t="n"/>
      <c r="AH43" s="11" t="n"/>
      <c r="AI43" s="10" t="n"/>
      <c r="AJ43" s="78">
        <f>IF(COUNT(E43:AI43)=0,"",COUNT(E43:AI43))</f>
        <v/>
      </c>
      <c r="AK43" s="78">
        <f>IF(COUNT(E43:AI43)=0,"",SUM(E43:AI43))</f>
        <v/>
      </c>
    </row>
    <row r="44" ht="15.75" customHeight="1" thickBot="1">
      <c r="A44" s="78" t="n">
        <v>26</v>
      </c>
      <c r="B44" s="26" t="inlineStr">
        <is>
          <t>Шодиев Иззат Саид ўғли</t>
        </is>
      </c>
      <c r="C44" s="20" t="inlineStr">
        <is>
          <t>Сварщик</t>
        </is>
      </c>
      <c r="D44" s="19" t="inlineStr">
        <is>
          <t xml:space="preserve">Ишлаб чиқариш бўлими </t>
        </is>
      </c>
      <c r="E44" s="11" t="n"/>
      <c r="F44" s="11" t="n"/>
      <c r="G44" s="78" t="n"/>
      <c r="H44" s="78" t="n"/>
      <c r="I44" s="78" t="n"/>
      <c r="J44" s="78" t="n"/>
      <c r="K44" s="78" t="n"/>
      <c r="L44" s="11" t="n"/>
      <c r="M44" s="11" t="n"/>
      <c r="N44" s="78" t="n"/>
      <c r="O44" s="78" t="n"/>
      <c r="P44" s="17" t="n"/>
      <c r="Q44" s="17" t="n"/>
      <c r="R44" s="78" t="n"/>
      <c r="S44" s="11" t="n"/>
      <c r="T44" s="11" t="n"/>
      <c r="U44" s="16" t="n"/>
      <c r="V44" s="78" t="n"/>
      <c r="W44" s="78" t="n"/>
      <c r="X44" s="78" t="n"/>
      <c r="Y44" s="78" t="n"/>
      <c r="Z44" s="11" t="n"/>
      <c r="AA44" s="11" t="n"/>
      <c r="AB44" s="16" t="n"/>
      <c r="AC44" s="11" t="n"/>
      <c r="AD44" s="78" t="n"/>
      <c r="AE44" s="78" t="n"/>
      <c r="AF44" s="78" t="n"/>
      <c r="AG44" s="11" t="n"/>
      <c r="AH44" s="11" t="n"/>
      <c r="AI44" s="10" t="n"/>
      <c r="AJ44" s="78">
        <f>IF(COUNT(E44:AI44)=0,"",COUNT(E44:AI44))</f>
        <v/>
      </c>
      <c r="AK44" s="78">
        <f>IF(COUNT(E44:AI44)=0,"",SUM(E44:AI44))</f>
        <v/>
      </c>
    </row>
    <row r="45" ht="15" customHeight="1" thickBot="1">
      <c r="A45" s="78" t="n">
        <v>27</v>
      </c>
      <c r="B45" s="26" t="inlineStr">
        <is>
          <t>Рўзиқулов Шахбоз Ҳусан ўғли</t>
        </is>
      </c>
      <c r="C45" s="20" t="inlineStr">
        <is>
          <t>Сварщик</t>
        </is>
      </c>
      <c r="D45" s="19" t="inlineStr">
        <is>
          <t xml:space="preserve">Ишлаб чиқариш бўлими </t>
        </is>
      </c>
      <c r="E45" s="11" t="n"/>
      <c r="F45" s="11" t="n"/>
      <c r="G45" s="78" t="n"/>
      <c r="H45" s="78" t="n"/>
      <c r="I45" s="78" t="n"/>
      <c r="J45" s="78" t="n"/>
      <c r="K45" s="78" t="n"/>
      <c r="L45" s="11" t="n"/>
      <c r="M45" s="11" t="n"/>
      <c r="N45" s="78" t="n"/>
      <c r="O45" s="78" t="n"/>
      <c r="P45" s="17" t="n"/>
      <c r="Q45" s="17" t="n"/>
      <c r="R45" s="78" t="n"/>
      <c r="S45" s="11" t="n"/>
      <c r="T45" s="11" t="n"/>
      <c r="U45" s="16" t="n"/>
      <c r="V45" s="78" t="n"/>
      <c r="W45" s="78" t="n"/>
      <c r="X45" s="78" t="n"/>
      <c r="Y45" s="78" t="n"/>
      <c r="Z45" s="11" t="n"/>
      <c r="AA45" s="11" t="n"/>
      <c r="AB45" s="16" t="n"/>
      <c r="AC45" s="78" t="n"/>
      <c r="AD45" s="78" t="n"/>
      <c r="AE45" s="78" t="n"/>
      <c r="AF45" s="78" t="n"/>
      <c r="AG45" s="11" t="n"/>
      <c r="AH45" s="11" t="n"/>
      <c r="AI45" s="10" t="n"/>
      <c r="AJ45" s="78">
        <f>IF(COUNT(E45:AI45)=0,"",COUNT(E45:AI45))</f>
        <v/>
      </c>
      <c r="AK45" s="78">
        <f>IF(COUNT(E45:AI45)=0,"",SUM(E45:AI45))</f>
        <v/>
      </c>
    </row>
    <row r="46" ht="13.5" customHeight="1" thickBot="1">
      <c r="A46" s="78" t="n">
        <v>28</v>
      </c>
      <c r="B46" s="25" t="inlineStr">
        <is>
          <t xml:space="preserve">Назиров Валижон Махамадиевич </t>
        </is>
      </c>
      <c r="C46" s="20" t="inlineStr">
        <is>
          <t>Сварщик</t>
        </is>
      </c>
      <c r="D46" s="19" t="inlineStr">
        <is>
          <t xml:space="preserve">Ишлаб чиқариш бўлими </t>
        </is>
      </c>
      <c r="E46" s="11" t="n"/>
      <c r="F46" s="11" t="n"/>
      <c r="G46" s="78" t="n"/>
      <c r="H46" s="78" t="n"/>
      <c r="I46" s="78" t="n"/>
      <c r="J46" s="78" t="n"/>
      <c r="K46" s="78" t="n"/>
      <c r="L46" s="11" t="n"/>
      <c r="M46" s="11" t="n"/>
      <c r="N46" s="78" t="n"/>
      <c r="O46" s="78" t="n"/>
      <c r="P46" s="78" t="n"/>
      <c r="Q46" s="78" t="n"/>
      <c r="R46" s="78" t="n"/>
      <c r="S46" s="11" t="n"/>
      <c r="T46" s="11" t="n"/>
      <c r="U46" s="16" t="n"/>
      <c r="V46" s="78" t="n"/>
      <c r="W46" s="78" t="n"/>
      <c r="X46" s="78" t="n"/>
      <c r="Y46" s="78" t="n"/>
      <c r="Z46" s="11" t="n"/>
      <c r="AA46" s="11" t="n"/>
      <c r="AB46" s="16" t="n"/>
      <c r="AC46" s="78" t="n"/>
      <c r="AD46" s="78" t="n"/>
      <c r="AE46" s="78" t="n"/>
      <c r="AF46" s="78" t="n"/>
      <c r="AG46" s="11" t="n"/>
      <c r="AH46" s="11" t="n"/>
      <c r="AI46" s="10" t="n"/>
      <c r="AJ46" s="78">
        <f>IF(COUNT(E46:AI46)=0,"",COUNT(E46:AI46))</f>
        <v/>
      </c>
      <c r="AK46" s="78">
        <f>IF(COUNT(E46:AI46)=0,"",SUM(E46:AI46))</f>
        <v/>
      </c>
    </row>
    <row r="47" ht="13.5" customHeight="1" thickBot="1">
      <c r="A47" s="78" t="n">
        <v>29</v>
      </c>
      <c r="B47" s="25" t="inlineStr">
        <is>
          <t>Каримов Абрулло  Исматович</t>
        </is>
      </c>
      <c r="C47" s="20" t="inlineStr">
        <is>
          <t>Сварщик</t>
        </is>
      </c>
      <c r="D47" s="19" t="inlineStr">
        <is>
          <t xml:space="preserve">Ишлаб чиқариш бўлими </t>
        </is>
      </c>
      <c r="E47" s="11" t="n"/>
      <c r="F47" s="11" t="n"/>
      <c r="G47" s="78" t="n"/>
      <c r="H47" s="78" t="n"/>
      <c r="I47" s="78" t="n"/>
      <c r="J47" s="78" t="n"/>
      <c r="K47" s="78" t="n"/>
      <c r="L47" s="11" t="n"/>
      <c r="M47" s="11" t="n"/>
      <c r="N47" s="78" t="n"/>
      <c r="O47" s="78" t="n"/>
      <c r="P47" s="78" t="n"/>
      <c r="Q47" s="78" t="n"/>
      <c r="R47" s="78" t="n"/>
      <c r="S47" s="11" t="n"/>
      <c r="T47" s="11" t="n"/>
      <c r="U47" s="16" t="n"/>
      <c r="V47" s="78" t="n"/>
      <c r="W47" s="78" t="n"/>
      <c r="X47" s="78" t="n"/>
      <c r="Y47" s="78" t="n"/>
      <c r="Z47" s="11" t="n"/>
      <c r="AA47" s="11" t="n"/>
      <c r="AB47" s="16" t="n"/>
      <c r="AC47" s="78" t="n"/>
      <c r="AD47" s="78" t="n"/>
      <c r="AE47" s="78" t="n"/>
      <c r="AF47" s="78" t="n"/>
      <c r="AG47" s="11" t="n"/>
      <c r="AH47" s="11" t="n"/>
      <c r="AI47" s="10" t="n"/>
      <c r="AJ47" s="78">
        <f>IF(COUNT(E47:AI47)=0,"",COUNT(E47:AI47))</f>
        <v/>
      </c>
      <c r="AK47" s="78">
        <f>IF(COUNT(E47:AI47)=0,"",SUM(E47:AI47))</f>
        <v/>
      </c>
    </row>
    <row r="48" ht="14.25" customHeight="1" thickBot="1">
      <c r="A48" s="78" t="n">
        <v>30</v>
      </c>
      <c r="B48" s="25" t="inlineStr">
        <is>
          <t>Худойдотов Бахтиёр Сафарович</t>
        </is>
      </c>
      <c r="C48" s="20" t="inlineStr">
        <is>
          <t>Сварщик</t>
        </is>
      </c>
      <c r="D48" s="19" t="inlineStr">
        <is>
          <t xml:space="preserve">Ишлаб чиқариш бўлими </t>
        </is>
      </c>
      <c r="E48" s="11" t="n"/>
      <c r="F48" s="11" t="n"/>
      <c r="G48" s="78" t="n"/>
      <c r="H48" s="78" t="n"/>
      <c r="I48" s="78" t="n"/>
      <c r="J48" s="78" t="n"/>
      <c r="K48" s="78" t="n"/>
      <c r="L48" s="11" t="n"/>
      <c r="M48" s="11" t="n"/>
      <c r="N48" s="78" t="n"/>
      <c r="O48" s="78" t="n"/>
      <c r="P48" s="78" t="n"/>
      <c r="Q48" s="78" t="n"/>
      <c r="R48" s="78" t="n"/>
      <c r="S48" s="11" t="n"/>
      <c r="T48" s="11" t="n"/>
      <c r="U48" s="16" t="n"/>
      <c r="V48" s="78" t="n"/>
      <c r="W48" s="78" t="n"/>
      <c r="X48" s="78" t="n"/>
      <c r="Y48" s="78" t="n"/>
      <c r="Z48" s="11" t="n"/>
      <c r="AA48" s="11" t="n"/>
      <c r="AB48" s="16" t="n"/>
      <c r="AC48" s="78" t="n"/>
      <c r="AD48" s="78" t="n"/>
      <c r="AE48" s="78" t="n"/>
      <c r="AF48" s="78" t="n"/>
      <c r="AG48" s="11" t="n"/>
      <c r="AH48" s="11" t="n"/>
      <c r="AI48" s="10" t="n"/>
      <c r="AJ48" s="78">
        <f>IF(COUNT(E48:AI48)=0,"",COUNT(E48:AI48))</f>
        <v/>
      </c>
      <c r="AK48" s="78">
        <f>IF(COUNT(E48:AI48)=0,"",SUM(E48:AI48))</f>
        <v/>
      </c>
    </row>
    <row r="49" ht="15" customHeight="1" thickBot="1">
      <c r="A49" s="78" t="n">
        <v>31</v>
      </c>
      <c r="B49" s="25" t="inlineStr">
        <is>
          <t>Ахмедов Жахонгир Алишерович</t>
        </is>
      </c>
      <c r="C49" s="20" t="inlineStr">
        <is>
          <t>Сварщик</t>
        </is>
      </c>
      <c r="D49" s="19" t="inlineStr">
        <is>
          <t xml:space="preserve">Ишлаб чиқариш бўлими </t>
        </is>
      </c>
      <c r="E49" s="11" t="n"/>
      <c r="F49" s="11" t="n"/>
      <c r="G49" s="78" t="n"/>
      <c r="H49" s="78" t="n"/>
      <c r="I49" s="78" t="n"/>
      <c r="J49" s="78" t="n"/>
      <c r="K49" s="78" t="n"/>
      <c r="L49" s="11" t="n"/>
      <c r="M49" s="11" t="n"/>
      <c r="N49" s="78" t="n"/>
      <c r="O49" s="78" t="n"/>
      <c r="P49" s="78" t="n"/>
      <c r="Q49" s="78" t="n"/>
      <c r="R49" s="78" t="n"/>
      <c r="S49" s="11" t="n"/>
      <c r="T49" s="11" t="n"/>
      <c r="U49" s="16" t="n"/>
      <c r="V49" s="78" t="n"/>
      <c r="W49" s="78" t="n"/>
      <c r="X49" s="78" t="n"/>
      <c r="Y49" s="78" t="n"/>
      <c r="Z49" s="11" t="n"/>
      <c r="AA49" s="11" t="n"/>
      <c r="AB49" s="16" t="n"/>
      <c r="AC49" s="78" t="n"/>
      <c r="AD49" s="78" t="n"/>
      <c r="AE49" s="78" t="n"/>
      <c r="AF49" s="78" t="n"/>
      <c r="AG49" s="11" t="n"/>
      <c r="AH49" s="11" t="n"/>
      <c r="AI49" s="10" t="n"/>
      <c r="AJ49" s="78">
        <f>IF(COUNT(E49:AI49)=0,"",COUNT(E49:AI49))</f>
        <v/>
      </c>
      <c r="AK49" s="78">
        <f>IF(COUNT(E49:AI49)=0,"",SUM(E49:AI49))</f>
        <v/>
      </c>
    </row>
    <row r="50" ht="16.5" customHeight="1" thickBot="1">
      <c r="A50" s="78" t="n">
        <v>32</v>
      </c>
      <c r="B50" s="25" t="inlineStr">
        <is>
          <t>Ходжаев Курбонали Йулдошевич</t>
        </is>
      </c>
      <c r="C50" s="20" t="inlineStr">
        <is>
          <t>Бетончи</t>
        </is>
      </c>
      <c r="D50" s="19" t="inlineStr">
        <is>
          <t xml:space="preserve">Ишлаб чиқариш бўлими </t>
        </is>
      </c>
      <c r="E50" s="11" t="n"/>
      <c r="F50" s="11" t="n"/>
      <c r="G50" s="78" t="n"/>
      <c r="H50" s="16" t="n"/>
      <c r="I50" s="78" t="n"/>
      <c r="J50" s="78" t="n"/>
      <c r="K50" s="78" t="n"/>
      <c r="L50" s="11" t="n"/>
      <c r="M50" s="11" t="n"/>
      <c r="N50" s="78" t="n"/>
      <c r="O50" s="78" t="n"/>
      <c r="P50" s="16" t="n"/>
      <c r="Q50" s="16" t="n"/>
      <c r="R50" s="78" t="n"/>
      <c r="S50" s="11" t="n"/>
      <c r="T50" s="11" t="n"/>
      <c r="U50" s="16" t="n"/>
      <c r="V50" s="78" t="n"/>
      <c r="W50" s="16" t="n"/>
      <c r="X50" s="16" t="n"/>
      <c r="Y50" s="78" t="n"/>
      <c r="Z50" s="11" t="n"/>
      <c r="AA50" s="11" t="n"/>
      <c r="AB50" s="16" t="n"/>
      <c r="AC50" s="78" t="n"/>
      <c r="AD50" s="78" t="n"/>
      <c r="AE50" s="78" t="n"/>
      <c r="AF50" s="78" t="n"/>
      <c r="AG50" s="11" t="n"/>
      <c r="AH50" s="11" t="n"/>
      <c r="AI50" s="10" t="n"/>
      <c r="AJ50" s="78">
        <f>IF(COUNT(E50:AI50)=0,"",COUNT(E50:AI50))</f>
        <v/>
      </c>
      <c r="AK50" s="78">
        <f>IF(COUNT(E50:AI50)=0,"",SUM(E50:AI50))</f>
        <v/>
      </c>
    </row>
    <row r="51" ht="15.75" customHeight="1" thickBot="1">
      <c r="A51" s="78" t="n">
        <v>33</v>
      </c>
      <c r="B51" s="25" t="inlineStr">
        <is>
          <t>Кучкаров Эркин Хасанович</t>
        </is>
      </c>
      <c r="C51" s="20" t="inlineStr">
        <is>
          <t>Бетончи</t>
        </is>
      </c>
      <c r="D51" s="19" t="inlineStr">
        <is>
          <t xml:space="preserve">Ишлаб чиқариш бўлими </t>
        </is>
      </c>
      <c r="E51" s="11" t="n"/>
      <c r="F51" s="11" t="n"/>
      <c r="G51" s="78" t="n"/>
      <c r="H51" s="78" t="n"/>
      <c r="I51" s="78" t="n"/>
      <c r="J51" s="78" t="n"/>
      <c r="K51" s="78" t="n"/>
      <c r="L51" s="11" t="n"/>
      <c r="M51" s="11" t="n"/>
      <c r="N51" s="78" t="n"/>
      <c r="O51" s="11" t="n"/>
      <c r="P51" s="78" t="n"/>
      <c r="Q51" s="78" t="n"/>
      <c r="R51" s="78" t="n"/>
      <c r="S51" s="11" t="n"/>
      <c r="T51" s="11" t="n"/>
      <c r="U51" s="16" t="n"/>
      <c r="V51" s="78" t="n"/>
      <c r="W51" s="78" t="n"/>
      <c r="X51" s="78" t="n"/>
      <c r="Y51" s="78" t="n"/>
      <c r="Z51" s="11" t="n"/>
      <c r="AA51" s="11" t="n"/>
      <c r="AB51" s="16" t="n"/>
      <c r="AC51" s="78" t="n"/>
      <c r="AD51" s="78" t="n"/>
      <c r="AE51" s="78" t="n"/>
      <c r="AF51" s="78" t="n"/>
      <c r="AG51" s="11" t="n"/>
      <c r="AH51" s="11" t="n"/>
      <c r="AI51" s="10" t="n"/>
      <c r="AJ51" s="78">
        <f>IF(COUNT(E51:AI51)=0,"",COUNT(E51:AI51))</f>
        <v/>
      </c>
      <c r="AK51" s="78">
        <f>IF(COUNT(E51:AI51)=0,"",SUM(E51:AI51))</f>
        <v/>
      </c>
    </row>
    <row r="52" ht="15" customHeight="1" thickBot="1">
      <c r="A52" s="78" t="n">
        <v>34</v>
      </c>
      <c r="B52" s="25" t="inlineStr">
        <is>
          <t>Юсупов Холназар Базарович</t>
        </is>
      </c>
      <c r="C52" s="20" t="inlineStr">
        <is>
          <t>Бетончи</t>
        </is>
      </c>
      <c r="D52" s="19" t="inlineStr">
        <is>
          <t xml:space="preserve">Ишлаб чиқариш бўлими </t>
        </is>
      </c>
      <c r="E52" s="11" t="n"/>
      <c r="F52" s="11" t="n"/>
      <c r="G52" s="78" t="n"/>
      <c r="H52" s="78" t="n"/>
      <c r="I52" s="11" t="n"/>
      <c r="J52" s="78" t="n"/>
      <c r="K52" s="78" t="n"/>
      <c r="L52" s="11" t="n"/>
      <c r="M52" s="11" t="n"/>
      <c r="N52" s="78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0" t="n"/>
      <c r="AJ52" s="78">
        <f>IF(COUNT(E52:AI52)=0,"",COUNT(E52:AI52))</f>
        <v/>
      </c>
      <c r="AK52" s="78">
        <f>IF(COUNT(E52:AI52)=0,"",SUM(E52:AI52))</f>
        <v/>
      </c>
    </row>
    <row r="53" ht="15" customHeight="1" thickBot="1">
      <c r="A53" s="78" t="n">
        <v>35</v>
      </c>
      <c r="B53" s="24" t="inlineStr">
        <is>
          <t>Аминов Камолиддин Лутфиддинович</t>
        </is>
      </c>
      <c r="C53" s="23" t="inlineStr">
        <is>
          <t>Бетончи</t>
        </is>
      </c>
      <c r="D53" s="19" t="inlineStr">
        <is>
          <t xml:space="preserve">Ишлаб чиқариш бўлими </t>
        </is>
      </c>
      <c r="E53" s="11" t="n"/>
      <c r="F53" s="11" t="n"/>
      <c r="G53" s="78" t="n"/>
      <c r="H53" s="78" t="n"/>
      <c r="I53" s="78" t="n"/>
      <c r="J53" s="78" t="n"/>
      <c r="K53" s="78" t="n"/>
      <c r="L53" s="11" t="n"/>
      <c r="M53" s="11" t="n"/>
      <c r="N53" s="78" t="n"/>
      <c r="O53" s="11" t="n"/>
      <c r="P53" s="16" t="n"/>
      <c r="Q53" s="16" t="n"/>
      <c r="R53" s="78" t="n"/>
      <c r="S53" s="11" t="n"/>
      <c r="T53" s="11" t="n"/>
      <c r="U53" s="16" t="n"/>
      <c r="V53" s="78" t="n"/>
      <c r="W53" s="78" t="n"/>
      <c r="X53" s="78" t="n"/>
      <c r="Y53" s="78" t="n"/>
      <c r="Z53" s="11" t="n"/>
      <c r="AA53" s="11" t="n"/>
      <c r="AB53" s="16" t="n"/>
      <c r="AC53" s="78" t="n"/>
      <c r="AD53" s="78" t="n"/>
      <c r="AE53" s="78" t="n"/>
      <c r="AF53" s="78" t="n"/>
      <c r="AG53" s="11" t="n"/>
      <c r="AH53" s="11" t="n"/>
      <c r="AI53" s="10" t="n"/>
      <c r="AJ53" s="78">
        <f>IF(COUNT(E53:AI53)=0,"",COUNT(E53:AI53))</f>
        <v/>
      </c>
      <c r="AK53" s="78">
        <f>IF(COUNT(E53:AI53)=0,"",SUM(E53:AI53))</f>
        <v/>
      </c>
    </row>
    <row r="54" ht="14.25" customHeight="1" thickBot="1">
      <c r="A54" s="78" t="n">
        <v>36</v>
      </c>
      <c r="B54" s="21" t="inlineStr">
        <is>
          <t>Фармонов  Шерзод Нурманович</t>
        </is>
      </c>
      <c r="C54" s="23" t="inlineStr">
        <is>
          <t>Бетончи</t>
        </is>
      </c>
      <c r="D54" s="19" t="inlineStr">
        <is>
          <t xml:space="preserve">Ишлаб чиқариш бўлими </t>
        </is>
      </c>
      <c r="E54" s="11" t="n"/>
      <c r="F54" s="11" t="n"/>
      <c r="G54" s="78" t="n"/>
      <c r="H54" s="16" t="n"/>
      <c r="I54" s="78" t="n"/>
      <c r="J54" s="78" t="n"/>
      <c r="K54" s="78" t="n"/>
      <c r="L54" s="11" t="n"/>
      <c r="M54" s="11" t="n"/>
      <c r="N54" s="78" t="n"/>
      <c r="O54" s="78" t="n"/>
      <c r="P54" s="78" t="n"/>
      <c r="Q54" s="78" t="n"/>
      <c r="R54" s="78" t="n"/>
      <c r="S54" s="11" t="n"/>
      <c r="T54" s="11" t="n"/>
      <c r="U54" s="16" t="n"/>
      <c r="V54" s="78" t="n"/>
      <c r="W54" s="16" t="n"/>
      <c r="X54" s="16" t="n"/>
      <c r="Y54" s="78" t="n"/>
      <c r="Z54" s="11" t="n"/>
      <c r="AA54" s="11" t="n"/>
      <c r="AB54" s="16" t="n"/>
      <c r="AC54" s="78" t="n"/>
      <c r="AD54" s="78" t="n"/>
      <c r="AE54" s="78" t="n"/>
      <c r="AF54" s="11" t="n"/>
      <c r="AG54" s="11" t="n"/>
      <c r="AH54" s="11" t="n"/>
      <c r="AI54" s="10" t="n"/>
      <c r="AJ54" s="78">
        <f>IF(COUNT(E54:AI54)=0,"",COUNT(E54:AI54))</f>
        <v/>
      </c>
      <c r="AK54" s="78">
        <f>IF(COUNT(E54:AI54)=0,"",SUM(E54:AI54))</f>
        <v/>
      </c>
    </row>
    <row r="55" ht="15" customHeight="1" thickBot="1">
      <c r="A55" s="78" t="n">
        <v>37</v>
      </c>
      <c r="B55" s="21" t="inlineStr">
        <is>
          <t xml:space="preserve">Насриддинов Химматилло Нусратуллаевич </t>
        </is>
      </c>
      <c r="C55" s="23" t="inlineStr">
        <is>
          <t>Бетончи</t>
        </is>
      </c>
      <c r="D55" s="19" t="inlineStr">
        <is>
          <t>Ишлаб чиқариш бўлими №1</t>
        </is>
      </c>
      <c r="E55" s="11" t="n"/>
      <c r="F55" s="11" t="n"/>
      <c r="G55" s="78" t="n"/>
      <c r="H55" s="78" t="n"/>
      <c r="I55" s="78" t="n"/>
      <c r="J55" s="78" t="n"/>
      <c r="K55" s="78" t="n"/>
      <c r="L55" s="11" t="n"/>
      <c r="M55" s="11" t="n"/>
      <c r="N55" s="78" t="n"/>
      <c r="O55" s="78" t="n"/>
      <c r="P55" s="16" t="n"/>
      <c r="Q55" s="16" t="n"/>
      <c r="R55" s="78" t="n"/>
      <c r="S55" s="11" t="n"/>
      <c r="T55" s="11" t="n"/>
      <c r="U55" s="16" t="n"/>
      <c r="V55" s="78" t="n"/>
      <c r="W55" s="78" t="n"/>
      <c r="X55" s="78" t="n"/>
      <c r="Y55" s="78" t="n"/>
      <c r="Z55" s="11" t="n"/>
      <c r="AA55" s="11" t="n"/>
      <c r="AB55" s="16" t="n"/>
      <c r="AC55" s="78" t="n"/>
      <c r="AD55" s="78" t="n"/>
      <c r="AE55" s="78" t="n"/>
      <c r="AF55" s="78" t="n"/>
      <c r="AG55" s="11" t="n"/>
      <c r="AH55" s="11" t="n"/>
      <c r="AI55" s="10" t="n"/>
      <c r="AJ55" s="78">
        <f>IF(COUNT(E55:AI55)=0,"",COUNT(E55:AI55))</f>
        <v/>
      </c>
      <c r="AK55" s="78">
        <f>IF(COUNT(E55:AI55)=0,"",SUM(E55:AI55))</f>
        <v/>
      </c>
    </row>
    <row r="56" ht="15.75" customHeight="1" thickBot="1">
      <c r="A56" s="78" t="n">
        <v>38</v>
      </c>
      <c r="B56" s="21" t="inlineStr">
        <is>
          <t>Шодиев Саид Чориевич</t>
        </is>
      </c>
      <c r="C56" s="22" t="inlineStr">
        <is>
          <t>Бетончи</t>
        </is>
      </c>
      <c r="D56" s="19" t="inlineStr">
        <is>
          <t xml:space="preserve">Ишлаб чиқариш бўлими </t>
        </is>
      </c>
      <c r="E56" s="11" t="n"/>
      <c r="F56" s="11" t="n"/>
      <c r="G56" s="78" t="n"/>
      <c r="H56" s="78" t="n"/>
      <c r="I56" s="78" t="n"/>
      <c r="J56" s="18" t="n"/>
      <c r="K56" s="78" t="n"/>
      <c r="L56" s="11" t="n"/>
      <c r="M56" s="11" t="n"/>
      <c r="N56" s="78" t="n"/>
      <c r="O56" s="78" t="n"/>
      <c r="P56" s="17" t="n"/>
      <c r="Q56" s="17" t="n"/>
      <c r="R56" s="78" t="n"/>
      <c r="S56" s="11" t="n"/>
      <c r="T56" s="11" t="n"/>
      <c r="U56" s="16" t="n"/>
      <c r="V56" s="78" t="n"/>
      <c r="W56" s="16" t="n"/>
      <c r="X56" s="16" t="n"/>
      <c r="Y56" s="78" t="n"/>
      <c r="Z56" s="11" t="n"/>
      <c r="AA56" s="11" t="n"/>
      <c r="AB56" s="16" t="n"/>
      <c r="AC56" s="78" t="n"/>
      <c r="AD56" s="78" t="n"/>
      <c r="AE56" s="78" t="n"/>
      <c r="AF56" s="78" t="n"/>
      <c r="AG56" s="11" t="n"/>
      <c r="AH56" s="11" t="n"/>
      <c r="AI56" s="10" t="n"/>
      <c r="AJ56" s="78">
        <f>IF(COUNT(E56:AI56)=0,"",COUNT(E56:AI56))</f>
        <v/>
      </c>
      <c r="AK56" s="78">
        <f>IF(COUNT(E56:AI56)=0,"",SUM(E56:AI56))</f>
        <v/>
      </c>
    </row>
    <row r="57" ht="16.5" customHeight="1" thickBot="1">
      <c r="A57" s="78" t="n">
        <v>39</v>
      </c>
      <c r="B57" s="21" t="inlineStr">
        <is>
          <t>Шодиев Охунжон Саид ўғли</t>
        </is>
      </c>
      <c r="C57" s="20" t="inlineStr">
        <is>
          <t>Бетончи</t>
        </is>
      </c>
      <c r="D57" s="19" t="inlineStr">
        <is>
          <t xml:space="preserve">Ишлаб чиқариш бўлими </t>
        </is>
      </c>
      <c r="E57" s="11" t="n"/>
      <c r="F57" s="11" t="n"/>
      <c r="G57" s="78" t="n"/>
      <c r="H57" s="78" t="n"/>
      <c r="I57" s="78" t="n"/>
      <c r="J57" s="18" t="n"/>
      <c r="K57" s="78" t="n"/>
      <c r="L57" s="11" t="n"/>
      <c r="M57" s="11" t="n"/>
      <c r="N57" s="78" t="n"/>
      <c r="O57" s="78" t="n"/>
      <c r="P57" s="17" t="n"/>
      <c r="Q57" s="17" t="n"/>
      <c r="R57" s="78" t="n"/>
      <c r="S57" s="11" t="n"/>
      <c r="T57" s="11" t="n"/>
      <c r="U57" s="16" t="n"/>
      <c r="V57" s="78" t="n"/>
      <c r="W57" s="78" t="n"/>
      <c r="X57" s="78" t="n"/>
      <c r="Y57" s="78" t="n"/>
      <c r="Z57" s="11" t="n"/>
      <c r="AA57" s="11" t="n"/>
      <c r="AB57" s="16" t="n"/>
      <c r="AC57" s="78" t="n"/>
      <c r="AD57" s="78" t="n"/>
      <c r="AE57" s="78" t="n"/>
      <c r="AF57" s="78" t="n"/>
      <c r="AG57" s="11" t="n"/>
      <c r="AH57" s="11" t="n"/>
      <c r="AI57" s="10" t="n"/>
      <c r="AJ57" s="78">
        <f>IF(COUNT(E57:AI57)=0,"",COUNT(E57:AI57))</f>
        <v/>
      </c>
      <c r="AK57" s="78">
        <f>IF(COUNT(E57:AI57)=0,"",SUM(E57:AI57))</f>
        <v/>
      </c>
    </row>
    <row r="58">
      <c r="A58" s="15" t="n"/>
      <c r="B58" s="14" t="n"/>
      <c r="C58" s="13" t="n"/>
      <c r="D58" s="9" t="n"/>
      <c r="E58" s="10" t="n"/>
      <c r="F58" s="11" t="n"/>
      <c r="G58" s="11" t="n"/>
      <c r="H58" s="9" t="n"/>
      <c r="I58" s="9" t="n"/>
      <c r="J58" s="2" t="n"/>
      <c r="K58" s="9" t="n"/>
      <c r="L58" s="10" t="n"/>
      <c r="M58" s="11" t="n"/>
      <c r="N58" s="11" t="n"/>
      <c r="O58" s="78" t="n"/>
      <c r="P58" s="9" t="n"/>
      <c r="Q58" s="9" t="n"/>
      <c r="R58" s="9" t="n"/>
      <c r="S58" s="10" t="n"/>
      <c r="T58" s="11" t="n"/>
      <c r="U58" s="11" t="n"/>
      <c r="V58" s="9" t="n"/>
      <c r="W58" s="9" t="n"/>
      <c r="X58" s="9" t="n"/>
      <c r="Y58" s="9" t="n"/>
      <c r="Z58" s="10" t="n"/>
      <c r="AA58" s="11" t="n"/>
      <c r="AB58" s="11" t="n"/>
      <c r="AC58" s="9" t="n"/>
      <c r="AD58" s="9" t="n"/>
      <c r="AE58" s="9" t="n"/>
      <c r="AF58" s="9" t="n"/>
      <c r="AG58" s="10" t="n"/>
      <c r="AH58" s="10" t="n"/>
      <c r="AI58" s="10" t="n"/>
      <c r="AJ58" s="9" t="n"/>
      <c r="AK58" s="9" t="n"/>
    </row>
    <row r="59">
      <c r="A59" s="7" t="n"/>
      <c r="B59" s="2" t="n"/>
      <c r="C59" s="5" t="n"/>
      <c r="D59" s="5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8" t="n"/>
      <c r="AK59" s="8" t="n"/>
    </row>
    <row r="60">
      <c r="A60" s="7" t="n"/>
      <c r="B60" s="2" t="n"/>
      <c r="C60" s="5" t="n"/>
      <c r="D60" s="5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</row>
    <row r="61" ht="21.75" customHeight="1" thickBot="1">
      <c r="A61" s="79" t="inlineStr">
        <is>
          <t>Mas'ul shaxs</t>
        </is>
      </c>
      <c r="C61" s="5" t="n"/>
      <c r="D61" s="5" t="n"/>
      <c r="E61" s="80" t="n"/>
      <c r="F61" s="111" t="n"/>
      <c r="G61" s="111" t="n"/>
      <c r="H61" s="111" t="n"/>
      <c r="I61" s="111" t="n"/>
      <c r="J61" s="2" t="n"/>
      <c r="K61" s="2" t="n"/>
      <c r="L61" s="80" t="n"/>
      <c r="M61" s="111" t="n"/>
      <c r="N61" s="111" t="n"/>
      <c r="O61" s="111" t="n"/>
      <c r="P61" s="111" t="n"/>
      <c r="Q61" s="111" t="n"/>
      <c r="R61" s="111" t="n"/>
      <c r="S61" s="111" t="n"/>
      <c r="T61" s="111" t="n"/>
      <c r="U61" s="111" t="n"/>
      <c r="V61" s="111" t="n"/>
      <c r="W61" s="2" t="n"/>
      <c r="X61" s="81" t="inlineStr">
        <is>
          <t>" _______ " ____________ 20 _____y.</t>
        </is>
      </c>
      <c r="AF61" s="2" t="n"/>
      <c r="AG61" s="2" t="n"/>
      <c r="AH61" s="2" t="n"/>
      <c r="AI61" s="2" t="n"/>
      <c r="AJ61" s="2" t="n"/>
      <c r="AK61" s="2" t="n"/>
    </row>
    <row r="62">
      <c r="C62" s="82" t="inlineStr">
        <is>
          <t>lavozim</t>
        </is>
      </c>
      <c r="E62" s="82" t="inlineStr">
        <is>
          <t>shaxsiy imzo</t>
        </is>
      </c>
      <c r="F62" s="86" t="n"/>
      <c r="G62" s="86" t="n"/>
      <c r="H62" s="86" t="n"/>
      <c r="I62" s="86" t="n"/>
      <c r="J62" s="44" t="n"/>
      <c r="K62" s="2" t="n"/>
      <c r="L62" s="82" t="inlineStr">
        <is>
          <t>Imzo kengaytmasi</t>
        </is>
      </c>
      <c r="M62" s="86" t="n"/>
      <c r="N62" s="86" t="n"/>
      <c r="O62" s="86" t="n"/>
      <c r="P62" s="86" t="n"/>
      <c r="Q62" s="86" t="n"/>
      <c r="R62" s="86" t="n"/>
      <c r="S62" s="86" t="n"/>
      <c r="T62" s="86" t="n"/>
      <c r="U62" s="86" t="n"/>
      <c r="V62" s="86" t="n"/>
      <c r="W62" s="2" t="n"/>
      <c r="X62" s="81" t="n"/>
      <c r="Y62" s="81" t="n"/>
      <c r="Z62" s="81" t="n"/>
      <c r="AA62" s="81" t="n"/>
      <c r="AB62" s="81" t="n"/>
      <c r="AC62" s="81" t="n"/>
      <c r="AD62" s="81" t="n"/>
      <c r="AE62" s="81" t="n"/>
      <c r="AF62" s="2" t="n"/>
      <c r="AG62" s="2" t="n"/>
      <c r="AH62" s="2" t="n"/>
      <c r="AI62" s="2" t="n"/>
      <c r="AJ62" s="2" t="n"/>
      <c r="AK62" s="2" t="n"/>
    </row>
    <row r="63">
      <c r="A63" s="2" t="n"/>
      <c r="B63" s="2" t="n"/>
      <c r="C63" s="5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2" t="n"/>
      <c r="AG63" s="2" t="n"/>
      <c r="AH63" s="2" t="n"/>
      <c r="AI63" s="2" t="n"/>
      <c r="AJ63" s="2" t="n"/>
      <c r="AK63" s="2" t="n"/>
    </row>
    <row r="64" ht="27" customHeight="1" thickBot="1">
      <c r="A64" s="83" t="inlineStr">
        <is>
          <t>Kadrlar xizmati xodimi</t>
        </is>
      </c>
      <c r="C64" s="5" t="n"/>
      <c r="D64" s="2" t="n"/>
      <c r="E64" s="80" t="n"/>
      <c r="F64" s="111" t="n"/>
      <c r="G64" s="111" t="n"/>
      <c r="H64" s="111" t="n"/>
      <c r="I64" s="111" t="n"/>
      <c r="J64" s="2" t="n"/>
      <c r="K64" s="2" t="n"/>
      <c r="L64" s="80" t="n"/>
      <c r="M64" s="111" t="n"/>
      <c r="N64" s="111" t="n"/>
      <c r="O64" s="111" t="n"/>
      <c r="P64" s="111" t="n"/>
      <c r="Q64" s="111" t="n"/>
      <c r="R64" s="111" t="n"/>
      <c r="S64" s="111" t="n"/>
      <c r="T64" s="111" t="n"/>
      <c r="U64" s="111" t="n"/>
      <c r="V64" s="111" t="n"/>
      <c r="W64" s="2" t="n"/>
      <c r="X64" s="81" t="inlineStr">
        <is>
          <t>" _______" ____________ 20 _____ y.</t>
        </is>
      </c>
      <c r="AF64" s="2" t="n"/>
      <c r="AG64" s="2" t="n"/>
      <c r="AH64" s="2" t="n"/>
      <c r="AI64" s="2" t="n"/>
      <c r="AJ64" s="2" t="n"/>
      <c r="AK64" s="2" t="n"/>
    </row>
    <row r="65">
      <c r="C65" s="82" t="inlineStr">
        <is>
          <t>lavozim</t>
        </is>
      </c>
      <c r="D65" s="2" t="n"/>
      <c r="E65" s="82" t="inlineStr">
        <is>
          <t>shaxsiy imzo</t>
        </is>
      </c>
      <c r="F65" s="86" t="n"/>
      <c r="G65" s="86" t="n"/>
      <c r="H65" s="86" t="n"/>
      <c r="I65" s="86" t="n"/>
      <c r="J65" s="44" t="n"/>
      <c r="K65" s="2" t="n"/>
      <c r="L65" s="82" t="inlineStr">
        <is>
          <t>Imzo kengaytmasi</t>
        </is>
      </c>
      <c r="M65" s="86" t="n"/>
      <c r="N65" s="86" t="n"/>
      <c r="O65" s="86" t="n"/>
      <c r="P65" s="86" t="n"/>
      <c r="Q65" s="86" t="n"/>
      <c r="R65" s="86" t="n"/>
      <c r="S65" s="86" t="n"/>
      <c r="T65" s="86" t="n"/>
      <c r="U65" s="86" t="n"/>
      <c r="V65" s="86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</row>
  </sheetData>
  <mergeCells count="72">
    <mergeCell ref="C14:C17"/>
    <mergeCell ref="AD3:AK3"/>
    <mergeCell ref="X15:X17"/>
    <mergeCell ref="Q12:U12"/>
    <mergeCell ref="M15:M17"/>
    <mergeCell ref="E62:I62"/>
    <mergeCell ref="Q15:Q17"/>
    <mergeCell ref="AH15:AH17"/>
    <mergeCell ref="L65:V65"/>
    <mergeCell ref="S15:S17"/>
    <mergeCell ref="AJ15:AJ17"/>
    <mergeCell ref="A9:AF9"/>
    <mergeCell ref="AJ14:AK14"/>
    <mergeCell ref="AE15:AE17"/>
    <mergeCell ref="A8:AK8"/>
    <mergeCell ref="AF12:AH12"/>
    <mergeCell ref="AG15:AG17"/>
    <mergeCell ref="X61:AE61"/>
    <mergeCell ref="E64:I64"/>
    <mergeCell ref="I13:R13"/>
    <mergeCell ref="AE5:AK5"/>
    <mergeCell ref="B14:B17"/>
    <mergeCell ref="AC10:AH10"/>
    <mergeCell ref="AF11:AH11"/>
    <mergeCell ref="AD4:AJ4"/>
    <mergeCell ref="H15:H17"/>
    <mergeCell ref="N15:N17"/>
    <mergeCell ref="P15:P17"/>
    <mergeCell ref="AD1:AK1"/>
    <mergeCell ref="L62:V62"/>
    <mergeCell ref="T15:T17"/>
    <mergeCell ref="I15:I17"/>
    <mergeCell ref="Z15:Z17"/>
    <mergeCell ref="AB15:AB17"/>
    <mergeCell ref="K15:K17"/>
    <mergeCell ref="E18:AI18"/>
    <mergeCell ref="A7:AF7"/>
    <mergeCell ref="E65:I65"/>
    <mergeCell ref="AC12:AE12"/>
    <mergeCell ref="AC11:AE11"/>
    <mergeCell ref="L64:V64"/>
    <mergeCell ref="Y15:Y17"/>
    <mergeCell ref="A64:B65"/>
    <mergeCell ref="V10:AA11"/>
    <mergeCell ref="X64:AE64"/>
    <mergeCell ref="AD2:AK2"/>
    <mergeCell ref="L12:O12"/>
    <mergeCell ref="U15:U17"/>
    <mergeCell ref="O15:O17"/>
    <mergeCell ref="W15:W17"/>
    <mergeCell ref="A14:A17"/>
    <mergeCell ref="E14:AI14"/>
    <mergeCell ref="F15:F17"/>
    <mergeCell ref="AI15:AI17"/>
    <mergeCell ref="V12:AA12"/>
    <mergeCell ref="AA15:AA17"/>
    <mergeCell ref="E61:I61"/>
    <mergeCell ref="AK15:AK17"/>
    <mergeCell ref="AC15:AC17"/>
    <mergeCell ref="A61:B62"/>
    <mergeCell ref="A6:AK6"/>
    <mergeCell ref="D14:D17"/>
    <mergeCell ref="J15:J17"/>
    <mergeCell ref="L15:L17"/>
    <mergeCell ref="R15:R17"/>
    <mergeCell ref="V15:V17"/>
    <mergeCell ref="E15:E17"/>
    <mergeCell ref="G15:G17"/>
    <mergeCell ref="AD15:AD17"/>
    <mergeCell ref="Q10:U11"/>
    <mergeCell ref="AF15:AF17"/>
    <mergeCell ref="L61:V61"/>
  </mergeCells>
  <printOptions horizontalCentered="1"/>
  <pageMargins left="0.25" right="0.25" top="0.4" bottom="0.4" header="0.2" footer="0.2"/>
  <pageSetup orientation="landscape" paperSize="9" scale="40" fitToHeight="1" fitToWidth="1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65"/>
  <sheetViews>
    <sheetView workbookViewId="0">
      <selection activeCell="A1" sqref="A1"/>
    </sheetView>
  </sheetViews>
  <sheetFormatPr baseColWidth="8" defaultRowHeight="15"/>
  <cols>
    <col width="4.85546875" customWidth="1" style="1" min="1" max="1"/>
    <col width="37.85546875" customWidth="1" style="1" min="2" max="2"/>
    <col width="22.140625" customWidth="1" style="1" min="3" max="3"/>
    <col width="31.7109375" customWidth="1" style="1" min="4" max="4"/>
    <col width="3.42578125" customWidth="1" style="1" min="5" max="5"/>
    <col width="3.5703125" customWidth="1" style="1" min="6" max="6"/>
    <col width="3" customWidth="1" style="1" min="7" max="7"/>
    <col width="2.7109375" customWidth="1" style="1" min="8" max="8"/>
    <col width="3.5703125" customWidth="1" style="1" min="9" max="11"/>
    <col width="3.140625" customWidth="1" style="1" min="12" max="13"/>
    <col width="2.7109375" bestFit="1" customWidth="1" style="1" min="14" max="14"/>
    <col width="3.42578125" customWidth="1" style="1" min="15" max="15"/>
    <col width="2.85546875" customWidth="1" style="1" min="16" max="16"/>
    <col width="3.140625" customWidth="1" style="1" min="17" max="17"/>
    <col width="3.28515625" customWidth="1" style="1" min="18" max="18"/>
    <col width="3.7109375" customWidth="1" style="1" min="19" max="19"/>
    <col width="3.28515625" customWidth="1" style="1" min="20" max="20"/>
    <col width="2.7109375" bestFit="1" customWidth="1" style="1" min="21" max="21"/>
    <col width="3.28515625" customWidth="1" style="1" min="22" max="22"/>
    <col width="3.5703125" customWidth="1" style="1" min="23" max="23"/>
    <col width="2.7109375" bestFit="1" customWidth="1" style="1" min="24" max="24"/>
    <col width="3" customWidth="1" style="1" min="25" max="25"/>
    <col width="4" customWidth="1" style="1" min="26" max="26"/>
    <col width="3.85546875" customWidth="1" style="1" min="27" max="27"/>
    <col width="3.5703125" customWidth="1" style="1" min="28" max="28"/>
    <col width="2.7109375" bestFit="1" customWidth="1" style="1" min="29" max="29"/>
    <col width="3.42578125" customWidth="1" style="1" min="30" max="30"/>
    <col width="3.28515625" customWidth="1" style="1" min="31" max="31"/>
    <col width="3.7109375" customWidth="1" style="1" min="32" max="33"/>
    <col width="4.28515625" customWidth="1" style="1" min="34" max="34"/>
    <col width="4" customWidth="1" style="1" min="35" max="35"/>
    <col width="9.140625" customWidth="1" style="1" min="36" max="16384"/>
  </cols>
  <sheetData>
    <row r="1">
      <c r="A1" s="1" t="n"/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34" t="n"/>
      <c r="AD1" s="39" t="inlineStr">
        <is>
          <t>“TASLIQLAYMAN”</t>
        </is>
      </c>
    </row>
    <row r="2">
      <c r="A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40" t="inlineStr">
        <is>
          <t>"ELEKTROQURILISHMAXSULOT" MCHJ</t>
        </is>
      </c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40" t="inlineStr">
        <is>
          <t>______________      F,MAXMUDOV</t>
        </is>
      </c>
    </row>
    <row r="4">
      <c r="A4" s="34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41" t="inlineStr">
        <is>
          <t>"_______"___________2026 yil</t>
        </is>
      </c>
      <c r="AK4" s="34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42" t="n"/>
    </row>
    <row r="6" ht="16.5" customHeight="1" thickBot="1">
      <c r="A6" s="38" t="inlineStr">
        <is>
          <t>"ELEKTROQURILISHMAXSULOT" АЖ</t>
        </is>
      </c>
      <c r="B6" s="84" t="n"/>
      <c r="C6" s="84" t="n"/>
      <c r="D6" s="84" t="n"/>
      <c r="E6" s="84" t="n"/>
      <c r="F6" s="84" t="n"/>
      <c r="G6" s="84" t="n"/>
      <c r="H6" s="84" t="n"/>
      <c r="I6" s="84" t="n"/>
      <c r="J6" s="84" t="n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  <c r="AA6" s="84" t="n"/>
      <c r="AB6" s="84" t="n"/>
      <c r="AC6" s="84" t="n"/>
      <c r="AD6" s="84" t="n"/>
      <c r="AE6" s="84" t="n"/>
      <c r="AF6" s="84" t="n"/>
      <c r="AG6" s="84" t="n"/>
      <c r="AH6" s="84" t="n"/>
      <c r="AI6" s="84" t="n"/>
      <c r="AJ6" s="84" t="n"/>
      <c r="AK6" s="84" t="n"/>
    </row>
    <row r="7">
      <c r="A7" s="44" t="inlineStr">
        <is>
          <t xml:space="preserve">                                                                kompaniya nomi</t>
        </is>
      </c>
      <c r="AG7" s="33" t="n"/>
      <c r="AH7" s="33" t="n"/>
      <c r="AI7" s="33" t="n"/>
      <c r="AJ7" s="32" t="n"/>
      <c r="AK7" s="32" t="n"/>
    </row>
    <row r="8" ht="15.75" customHeight="1" thickBot="1">
      <c r="A8" s="45" t="n"/>
      <c r="B8" s="84" t="n"/>
      <c r="C8" s="84" t="n"/>
      <c r="D8" s="84" t="n"/>
      <c r="E8" s="84" t="n"/>
      <c r="F8" s="84" t="n"/>
      <c r="G8" s="84" t="n"/>
      <c r="H8" s="84" t="n"/>
      <c r="I8" s="84" t="n"/>
      <c r="J8" s="84" t="n"/>
      <c r="K8" s="84" t="n"/>
      <c r="L8" s="84" t="n"/>
      <c r="M8" s="84" t="n"/>
      <c r="N8" s="84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84" t="n"/>
      <c r="AB8" s="84" t="n"/>
      <c r="AC8" s="84" t="n"/>
      <c r="AD8" s="84" t="n"/>
      <c r="AE8" s="84" t="n"/>
      <c r="AF8" s="84" t="n"/>
      <c r="AG8" s="84" t="n"/>
      <c r="AH8" s="84" t="n"/>
      <c r="AI8" s="84" t="n"/>
      <c r="AJ8" s="84" t="n"/>
      <c r="AK8" s="84" t="n"/>
    </row>
    <row r="9" ht="15.75" customHeight="1" thickBot="1">
      <c r="A9" s="44" t="inlineStr">
        <is>
          <t xml:space="preserve">                                                           tarkibiy bo'linma</t>
        </is>
      </c>
      <c r="AG9" s="2" t="n"/>
      <c r="AH9" s="2" t="n"/>
      <c r="AI9" s="2" t="n"/>
      <c r="AJ9" s="2" t="n"/>
      <c r="AK9" s="2" t="n"/>
    </row>
    <row r="10" ht="15.75" customHeight="1" thickBo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85" t="inlineStr">
        <is>
          <t>Hujjat raqami</t>
        </is>
      </c>
      <c r="R10" s="86" t="n"/>
      <c r="S10" s="86" t="n"/>
      <c r="T10" s="86" t="n"/>
      <c r="U10" s="87" t="n"/>
      <c r="V10" s="85" t="inlineStr">
        <is>
          <t>Tuzilish sanasi</t>
        </is>
      </c>
      <c r="W10" s="86" t="n"/>
      <c r="X10" s="86" t="n"/>
      <c r="Y10" s="86" t="n"/>
      <c r="Z10" s="86" t="n"/>
      <c r="AA10" s="87" t="n"/>
      <c r="AB10" s="31" t="n"/>
      <c r="AC10" s="88" t="inlineStr">
        <is>
          <t>Hisobot davri</t>
        </is>
      </c>
      <c r="AD10" s="89" t="n"/>
      <c r="AE10" s="89" t="n"/>
      <c r="AF10" s="89" t="n"/>
      <c r="AG10" s="89" t="n"/>
      <c r="AH10" s="90" t="n"/>
      <c r="AI10" s="2" t="n"/>
      <c r="AJ10" s="2" t="n"/>
      <c r="AK10" s="2" t="n"/>
    </row>
    <row r="11" ht="15.75" customHeight="1" thickBo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91" t="n"/>
      <c r="R11" s="92" t="n"/>
      <c r="S11" s="92" t="n"/>
      <c r="T11" s="92" t="n"/>
      <c r="U11" s="93" t="n"/>
      <c r="V11" s="91" t="n"/>
      <c r="W11" s="92" t="n"/>
      <c r="X11" s="92" t="n"/>
      <c r="Y11" s="92" t="n"/>
      <c r="Z11" s="92" t="n"/>
      <c r="AA11" s="93" t="n"/>
      <c r="AB11" s="31" t="n"/>
      <c r="AC11" s="85" t="inlineStr">
        <is>
          <t>dan</t>
        </is>
      </c>
      <c r="AD11" s="94" t="n"/>
      <c r="AE11" s="95" t="n"/>
      <c r="AF11" s="85" t="inlineStr">
        <is>
          <t>bo'yicha</t>
        </is>
      </c>
      <c r="AG11" s="94" t="n"/>
      <c r="AH11" s="95" t="n"/>
      <c r="AI11" s="2" t="n"/>
      <c r="AJ11" s="2" t="n"/>
      <c r="AK11" s="2" t="n"/>
    </row>
    <row r="12" ht="17.25" customHeight="1" thickBot="1" thickTop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58" t="inlineStr">
        <is>
          <t>TABEL</t>
        </is>
      </c>
      <c r="P12" s="2" t="n"/>
      <c r="Q12" s="96" t="inlineStr">
        <is>
          <t>_________</t>
        </is>
      </c>
      <c r="R12" s="97" t="n"/>
      <c r="S12" s="97" t="n"/>
      <c r="T12" s="97" t="n"/>
      <c r="U12" s="98" t="n"/>
      <c r="V12" s="99" t="inlineStr">
        <is>
          <t>01.11-30.11.2026</t>
        </is>
      </c>
      <c r="W12" s="97" t="n"/>
      <c r="X12" s="97" t="n"/>
      <c r="Y12" s="97" t="n"/>
      <c r="Z12" s="97" t="n"/>
      <c r="AA12" s="98" t="n"/>
      <c r="AB12" s="31" t="n"/>
      <c r="AC12" s="99" t="inlineStr">
        <is>
          <t>01.11.2026</t>
        </is>
      </c>
      <c r="AD12" s="97" t="n"/>
      <c r="AE12" s="98" t="n"/>
      <c r="AF12" s="99" t="inlineStr">
        <is>
          <t>30.11.2026</t>
        </is>
      </c>
      <c r="AG12" s="97" t="n"/>
      <c r="AH12" s="98" t="n"/>
      <c r="AI12" s="2" t="n"/>
      <c r="AJ12" s="2" t="n"/>
      <c r="AK12" s="2" t="n"/>
    </row>
    <row r="13" ht="17.25" customHeight="1" thickBot="1" thickTop="1">
      <c r="A13" s="2" t="n"/>
      <c r="B13" s="2" t="n"/>
      <c r="C13" s="2" t="n"/>
      <c r="D13" s="2" t="n"/>
      <c r="E13" s="2" t="n"/>
      <c r="F13" s="2" t="n"/>
      <c r="G13" s="2" t="n"/>
      <c r="H13" s="2" t="n"/>
      <c r="I13" s="43" t="inlineStr">
        <is>
          <t>ish vaqtini hisoblash</t>
        </is>
      </c>
      <c r="J13" s="100" t="n"/>
      <c r="K13" s="100" t="n"/>
      <c r="L13" s="100" t="n"/>
      <c r="M13" s="100" t="n"/>
      <c r="N13" s="100" t="n"/>
      <c r="O13" s="100" t="n"/>
      <c r="P13" s="100" t="n"/>
      <c r="Q13" s="100" t="n"/>
      <c r="R13" s="100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</row>
    <row r="14" ht="16.5" customHeight="1" thickBot="1" thickTop="1">
      <c r="A14" s="73" t="inlineStr">
        <is>
          <t>№</t>
        </is>
      </c>
      <c r="B14" s="75" t="inlineStr">
        <is>
          <t>Familiya IS.</t>
        </is>
      </c>
      <c r="C14" s="75" t="inlineStr">
        <is>
          <t>Lavozim</t>
        </is>
      </c>
      <c r="D14" s="75" t="inlineStr">
        <is>
          <t xml:space="preserve">Bo'lim nomi </t>
        </is>
      </c>
      <c r="E14" s="101" t="inlineStr">
        <is>
          <t>Oyni kunlari bo‘yicha ishga kelish va kelmaslik belgilari</t>
        </is>
      </c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02" t="n"/>
      <c r="R14" s="102" t="n"/>
      <c r="S14" s="102" t="n"/>
      <c r="T14" s="102" t="n"/>
      <c r="U14" s="102" t="n"/>
      <c r="V14" s="102" t="n"/>
      <c r="W14" s="102" t="n"/>
      <c r="X14" s="102" t="n"/>
      <c r="Y14" s="102" t="n"/>
      <c r="Z14" s="102" t="n"/>
      <c r="AA14" s="102" t="n"/>
      <c r="AB14" s="102" t="n"/>
      <c r="AC14" s="102" t="n"/>
      <c r="AD14" s="102" t="n"/>
      <c r="AE14" s="102" t="n"/>
      <c r="AF14" s="102" t="n"/>
      <c r="AG14" s="102" t="n"/>
      <c r="AH14" s="102" t="n"/>
      <c r="AI14" s="103" t="n"/>
      <c r="AJ14" s="104" t="inlineStr">
        <is>
          <t>Oylik ishlagan</t>
        </is>
      </c>
      <c r="AK14" s="105" t="n"/>
    </row>
    <row r="15">
      <c r="A15" s="106" t="n"/>
      <c r="B15" s="107" t="n"/>
      <c r="C15" s="107" t="n"/>
      <c r="D15" s="107" t="n"/>
      <c r="E15" s="67" t="n">
        <v>1</v>
      </c>
      <c r="F15" s="67" t="n">
        <v>2</v>
      </c>
      <c r="G15" s="69" t="n">
        <v>3</v>
      </c>
      <c r="H15" s="69" t="n">
        <v>4</v>
      </c>
      <c r="I15" s="69" t="n">
        <v>5</v>
      </c>
      <c r="J15" s="69" t="n">
        <v>6</v>
      </c>
      <c r="K15" s="69" t="n">
        <v>7</v>
      </c>
      <c r="L15" s="67" t="n">
        <v>8</v>
      </c>
      <c r="M15" s="67" t="n">
        <v>9</v>
      </c>
      <c r="N15" s="69" t="n">
        <v>10</v>
      </c>
      <c r="O15" s="69" t="n">
        <v>11</v>
      </c>
      <c r="P15" s="69" t="n">
        <v>12</v>
      </c>
      <c r="Q15" s="69" t="n">
        <v>13</v>
      </c>
      <c r="R15" s="69" t="n">
        <v>14</v>
      </c>
      <c r="S15" s="67" t="n">
        <v>15</v>
      </c>
      <c r="T15" s="67" t="n">
        <v>16</v>
      </c>
      <c r="U15" s="69" t="n">
        <v>17</v>
      </c>
      <c r="V15" s="69" t="n">
        <v>18</v>
      </c>
      <c r="W15" s="69" t="n">
        <v>19</v>
      </c>
      <c r="X15" s="69" t="n">
        <v>20</v>
      </c>
      <c r="Y15" s="69" t="n">
        <v>21</v>
      </c>
      <c r="Z15" s="67" t="n">
        <v>22</v>
      </c>
      <c r="AA15" s="67" t="n">
        <v>23</v>
      </c>
      <c r="AB15" s="69" t="n">
        <v>24</v>
      </c>
      <c r="AC15" s="69" t="n">
        <v>25</v>
      </c>
      <c r="AD15" s="69" t="n">
        <v>26</v>
      </c>
      <c r="AE15" s="69" t="n">
        <v>27</v>
      </c>
      <c r="AF15" s="69" t="n">
        <v>28</v>
      </c>
      <c r="AG15" s="67" t="n">
        <v>29</v>
      </c>
      <c r="AH15" s="67" t="n">
        <v>30</v>
      </c>
      <c r="AI15" s="69" t="n"/>
      <c r="AJ15" s="69" t="inlineStr">
        <is>
          <t>Kunlar</t>
        </is>
      </c>
      <c r="AK15" s="71" t="inlineStr">
        <is>
          <t>Soat</t>
        </is>
      </c>
    </row>
    <row r="16">
      <c r="A16" s="106" t="n"/>
      <c r="B16" s="107" t="n"/>
      <c r="C16" s="107" t="n"/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  <c r="N16" s="107" t="n"/>
      <c r="O16" s="107" t="n"/>
      <c r="P16" s="107" t="n"/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107" t="n"/>
      <c r="AJ16" s="107" t="n"/>
      <c r="AK16" s="108" t="n"/>
    </row>
    <row r="17">
      <c r="A17" s="106" t="n"/>
      <c r="B17" s="107" t="n"/>
      <c r="C17" s="107" t="n"/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  <c r="N17" s="107" t="n"/>
      <c r="O17" s="107" t="n"/>
      <c r="P17" s="107" t="n"/>
      <c r="Q17" s="107" t="n"/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107" t="n"/>
      <c r="AJ17" s="107" t="n"/>
      <c r="AK17" s="108" t="n"/>
    </row>
    <row r="18">
      <c r="A18" s="78" t="n">
        <v>1</v>
      </c>
      <c r="B18" s="78" t="n">
        <v>2</v>
      </c>
      <c r="C18" s="78" t="n">
        <v>3</v>
      </c>
      <c r="D18" s="78" t="n">
        <v>3</v>
      </c>
      <c r="E18" s="78" t="n">
        <v>4</v>
      </c>
      <c r="F18" s="109" t="n"/>
      <c r="G18" s="109" t="n"/>
      <c r="H18" s="109" t="n"/>
      <c r="I18" s="109" t="n"/>
      <c r="J18" s="109" t="n"/>
      <c r="K18" s="109" t="n"/>
      <c r="L18" s="109" t="n"/>
      <c r="M18" s="109" t="n"/>
      <c r="N18" s="109" t="n"/>
      <c r="O18" s="109" t="n"/>
      <c r="P18" s="109" t="n"/>
      <c r="Q18" s="109" t="n"/>
      <c r="R18" s="109" t="n"/>
      <c r="S18" s="109" t="n"/>
      <c r="T18" s="109" t="n"/>
      <c r="U18" s="109" t="n"/>
      <c r="V18" s="109" t="n"/>
      <c r="W18" s="109" t="n"/>
      <c r="X18" s="109" t="n"/>
      <c r="Y18" s="109" t="n"/>
      <c r="Z18" s="109" t="n"/>
      <c r="AA18" s="109" t="n"/>
      <c r="AB18" s="109" t="n"/>
      <c r="AC18" s="109" t="n"/>
      <c r="AD18" s="109" t="n"/>
      <c r="AE18" s="109" t="n"/>
      <c r="AF18" s="109" t="n"/>
      <c r="AG18" s="109" t="n"/>
      <c r="AH18" s="109" t="n"/>
      <c r="AI18" s="110" t="n"/>
      <c r="AJ18" s="78" t="n">
        <v>5</v>
      </c>
      <c r="AK18" s="78" t="n">
        <v>6</v>
      </c>
    </row>
    <row r="19" ht="17.25" customHeight="1" thickBot="1">
      <c r="A19" s="78" t="n">
        <v>1</v>
      </c>
      <c r="B19" s="26" t="inlineStr">
        <is>
          <t>Махмудов  Фазлиддин Аминович</t>
        </is>
      </c>
      <c r="C19" s="20" t="inlineStr">
        <is>
          <t>Директор</t>
        </is>
      </c>
      <c r="D19" s="19" t="inlineStr">
        <is>
          <t>Бошқарув</t>
        </is>
      </c>
      <c r="E19" s="11" t="n"/>
      <c r="F19" s="11" t="n"/>
      <c r="G19" s="78" t="n"/>
      <c r="H19" s="78" t="n"/>
      <c r="I19" s="78" t="n"/>
      <c r="J19" s="78" t="n"/>
      <c r="K19" s="78" t="n"/>
      <c r="L19" s="11" t="n"/>
      <c r="M19" s="11" t="n"/>
      <c r="N19" s="78" t="n"/>
      <c r="O19" s="78" t="n"/>
      <c r="P19" s="78" t="n"/>
      <c r="Q19" s="78" t="n"/>
      <c r="R19" s="78" t="n"/>
      <c r="S19" s="11" t="n"/>
      <c r="T19" s="11" t="n"/>
      <c r="U19" s="16" t="n"/>
      <c r="V19" s="78" t="n"/>
      <c r="W19" s="78" t="n"/>
      <c r="X19" s="78" t="n"/>
      <c r="Y19" s="78" t="n"/>
      <c r="Z19" s="11" t="n"/>
      <c r="AA19" s="11" t="n"/>
      <c r="AB19" s="16" t="n"/>
      <c r="AC19" s="78" t="n"/>
      <c r="AD19" s="78" t="n"/>
      <c r="AE19" s="78" t="n"/>
      <c r="AF19" s="78" t="n"/>
      <c r="AG19" s="11" t="n"/>
      <c r="AH19" s="11" t="n"/>
      <c r="AI19" s="10" t="n"/>
      <c r="AJ19" s="78">
        <f>IF(COUNT(E19:AI19)=0,"",COUNT(E19:AI19))</f>
        <v/>
      </c>
      <c r="AK19" s="78">
        <f>IF(COUNT(E19:AI19)=0,"",SUM(E19:AI19))</f>
        <v/>
      </c>
    </row>
    <row r="20" ht="15.75" customHeight="1" thickBot="1">
      <c r="A20" s="78" t="n">
        <v>2</v>
      </c>
      <c r="B20" s="26" t="inlineStr">
        <is>
          <t>Жабборов Фозил Фахмон угли</t>
        </is>
      </c>
      <c r="C20" s="20" t="inlineStr">
        <is>
          <t>Цех бошлиги</t>
        </is>
      </c>
      <c r="D20" s="19" t="inlineStr">
        <is>
          <t>Бошқарув апарати мутахассиси</t>
        </is>
      </c>
      <c r="E20" s="11" t="n"/>
      <c r="F20" s="11" t="n"/>
      <c r="G20" s="78" t="n"/>
      <c r="H20" s="78" t="n"/>
      <c r="I20" s="78" t="n"/>
      <c r="J20" s="78" t="n"/>
      <c r="K20" s="78" t="n"/>
      <c r="L20" s="11" t="n"/>
      <c r="M20" s="11" t="n"/>
      <c r="N20" s="78" t="n"/>
      <c r="O20" s="78" t="n"/>
      <c r="P20" s="78" t="n"/>
      <c r="Q20" s="78" t="n"/>
      <c r="R20" s="78" t="n"/>
      <c r="S20" s="11" t="n"/>
      <c r="T20" s="11" t="n"/>
      <c r="U20" s="16" t="n"/>
      <c r="V20" s="78" t="n"/>
      <c r="W20" s="78" t="n"/>
      <c r="X20" s="78" t="n"/>
      <c r="Y20" s="78" t="n"/>
      <c r="Z20" s="11" t="n"/>
      <c r="AA20" s="11" t="n"/>
      <c r="AB20" s="16" t="n"/>
      <c r="AC20" s="78" t="n"/>
      <c r="AD20" s="78" t="n"/>
      <c r="AE20" s="78" t="n"/>
      <c r="AF20" s="78" t="n"/>
      <c r="AG20" s="11" t="n"/>
      <c r="AH20" s="11" t="n"/>
      <c r="AI20" s="10" t="n"/>
      <c r="AJ20" s="78">
        <f>IF(COUNT(E20:AI20)=0,"",COUNT(E20:AI20))</f>
        <v/>
      </c>
      <c r="AK20" s="78">
        <f>IF(COUNT(E20:AI20)=0,"",SUM(E20:AI20))</f>
        <v/>
      </c>
    </row>
    <row r="21" ht="15.75" customHeight="1" thickBot="1">
      <c r="A21" s="78" t="n">
        <v>3</v>
      </c>
      <c r="B21" s="26" t="inlineStr">
        <is>
          <t>Аралова Зебо Баратовна</t>
        </is>
      </c>
      <c r="C21" s="20" t="inlineStr">
        <is>
          <t>Хисобчи</t>
        </is>
      </c>
      <c r="D21" s="19" t="inlineStr">
        <is>
          <t>Бошқарув апарати мутахассиси</t>
        </is>
      </c>
      <c r="E21" s="11" t="n"/>
      <c r="F21" s="11" t="n"/>
      <c r="G21" s="78" t="n"/>
      <c r="H21" s="78" t="n"/>
      <c r="I21" s="78" t="n"/>
      <c r="J21" s="78" t="n"/>
      <c r="K21" s="78" t="n"/>
      <c r="L21" s="11" t="n"/>
      <c r="M21" s="11" t="n"/>
      <c r="N21" s="78" t="n"/>
      <c r="O21" s="78" t="n"/>
      <c r="P21" s="78" t="n"/>
      <c r="Q21" s="78" t="n"/>
      <c r="R21" s="78" t="n"/>
      <c r="S21" s="11" t="n"/>
      <c r="T21" s="11" t="n"/>
      <c r="U21" s="16" t="n"/>
      <c r="V21" s="78" t="n"/>
      <c r="W21" s="78" t="n"/>
      <c r="X21" s="78" t="n"/>
      <c r="Y21" s="78" t="n"/>
      <c r="Z21" s="11" t="n"/>
      <c r="AA21" s="11" t="n"/>
      <c r="AB21" s="16" t="n"/>
      <c r="AC21" s="78" t="n"/>
      <c r="AD21" s="78" t="n"/>
      <c r="AE21" s="78" t="n"/>
      <c r="AF21" s="78" t="n"/>
      <c r="AG21" s="11" t="n"/>
      <c r="AH21" s="11" t="n"/>
      <c r="AI21" s="10" t="n"/>
      <c r="AJ21" s="78">
        <f>IF(COUNT(E21:AI21)=0,"",COUNT(E21:AI21))</f>
        <v/>
      </c>
      <c r="AK21" s="78">
        <f>IF(COUNT(E21:AI21)=0,"",SUM(E21:AI21))</f>
        <v/>
      </c>
    </row>
    <row r="22" ht="15" customHeight="1" thickBot="1">
      <c r="A22" s="78" t="n">
        <v>4</v>
      </c>
      <c r="B22" s="26" t="inlineStr">
        <is>
          <t>Меликмуродов Асадулло  Рахматуллаевич</t>
        </is>
      </c>
      <c r="C22" s="20" t="inlineStr">
        <is>
          <t>Главныий механик</t>
        </is>
      </c>
      <c r="D22" s="19" t="inlineStr">
        <is>
          <t>Бошқарув апарати мутахассиси</t>
        </is>
      </c>
      <c r="E22" s="11" t="n"/>
      <c r="F22" s="11" t="n"/>
      <c r="G22" s="78" t="n"/>
      <c r="H22" s="78" t="n"/>
      <c r="I22" s="78" t="n"/>
      <c r="J22" s="78" t="n"/>
      <c r="K22" s="78" t="n"/>
      <c r="L22" s="11" t="n"/>
      <c r="M22" s="11" t="n"/>
      <c r="N22" s="78" t="n"/>
      <c r="O22" s="78" t="n"/>
      <c r="P22" s="78" t="n"/>
      <c r="Q22" s="78" t="n"/>
      <c r="R22" s="78" t="n"/>
      <c r="S22" s="11" t="n"/>
      <c r="T22" s="11" t="n"/>
      <c r="U22" s="16" t="n"/>
      <c r="V22" s="78" t="n"/>
      <c r="W22" s="78" t="n"/>
      <c r="X22" s="78" t="n"/>
      <c r="Y22" s="78" t="n"/>
      <c r="Z22" s="11" t="n"/>
      <c r="AA22" s="11" t="n"/>
      <c r="AB22" s="16" t="n"/>
      <c r="AC22" s="78" t="n"/>
      <c r="AD22" s="78" t="n"/>
      <c r="AE22" s="78" t="n"/>
      <c r="AF22" s="78" t="n"/>
      <c r="AG22" s="11" t="n"/>
      <c r="AH22" s="11" t="n"/>
      <c r="AI22" s="10" t="n"/>
      <c r="AJ22" s="78">
        <f>IF(COUNT(E22:AI22)=0,"",COUNT(E22:AI22))</f>
        <v/>
      </c>
      <c r="AK22" s="78">
        <f>IF(COUNT(E22:AI22)=0,"",SUM(E22:AI22))</f>
        <v/>
      </c>
    </row>
    <row r="23" ht="15" customHeight="1" thickBot="1">
      <c r="A23" s="78" t="n">
        <v>5</v>
      </c>
      <c r="B23" s="26" t="inlineStr">
        <is>
          <t>Махмудов  Бахтиёр Юнус угли</t>
        </is>
      </c>
      <c r="C23" s="29" t="inlineStr">
        <is>
          <t>Инженер ОТК</t>
        </is>
      </c>
      <c r="D23" s="19" t="inlineStr">
        <is>
          <t>Бошқарув апарати мутахассиси</t>
        </is>
      </c>
      <c r="E23" s="11" t="n"/>
      <c r="F23" s="11" t="n"/>
      <c r="G23" s="78" t="n"/>
      <c r="H23" s="78" t="n"/>
      <c r="I23" s="78" t="n"/>
      <c r="J23" s="78" t="n"/>
      <c r="K23" s="78" t="n"/>
      <c r="L23" s="11" t="n"/>
      <c r="M23" s="11" t="n"/>
      <c r="N23" s="78" t="n"/>
      <c r="O23" s="78" t="n"/>
      <c r="P23" s="78" t="n"/>
      <c r="Q23" s="78" t="n"/>
      <c r="R23" s="78" t="n"/>
      <c r="S23" s="11" t="n"/>
      <c r="T23" s="11" t="n"/>
      <c r="U23" s="16" t="n"/>
      <c r="V23" s="78" t="n"/>
      <c r="W23" s="78" t="n"/>
      <c r="X23" s="78" t="n"/>
      <c r="Y23" s="78" t="n"/>
      <c r="Z23" s="11" t="n"/>
      <c r="AA23" s="11" t="n"/>
      <c r="AB23" s="16" t="n"/>
      <c r="AC23" s="78" t="n"/>
      <c r="AD23" s="78" t="n"/>
      <c r="AE23" s="78" t="n"/>
      <c r="AF23" s="78" t="n"/>
      <c r="AG23" s="11" t="n"/>
      <c r="AH23" s="11" t="n"/>
      <c r="AI23" s="10" t="n"/>
      <c r="AJ23" s="78">
        <f>IF(COUNT(E23:AI23)=0,"",COUNT(E23:AI23))</f>
        <v/>
      </c>
      <c r="AK23" s="78">
        <f>IF(COUNT(E23:AI23)=0,"",SUM(E23:AI23))</f>
        <v/>
      </c>
    </row>
    <row r="24" ht="15" customHeight="1" thickBot="1">
      <c r="A24" s="78" t="n">
        <v>6</v>
      </c>
      <c r="B24" s="26" t="inlineStr">
        <is>
          <t>Мелибойев  Лукмон Файзуллаевич</t>
        </is>
      </c>
      <c r="C24" s="20" t="inlineStr">
        <is>
          <t>Инженер ТБ</t>
        </is>
      </c>
      <c r="D24" s="19" t="inlineStr">
        <is>
          <t>Бошқарув апарати мутахассиси</t>
        </is>
      </c>
      <c r="E24" s="11" t="n"/>
      <c r="F24" s="11" t="n"/>
      <c r="G24" s="78" t="n"/>
      <c r="H24" s="78" t="n"/>
      <c r="I24" s="78" t="n"/>
      <c r="J24" s="78" t="n"/>
      <c r="K24" s="78" t="n"/>
      <c r="L24" s="11" t="n"/>
      <c r="M24" s="11" t="n"/>
      <c r="N24" s="78" t="n"/>
      <c r="O24" s="78" t="n"/>
      <c r="P24" s="78" t="n"/>
      <c r="Q24" s="78" t="n"/>
      <c r="R24" s="78" t="n"/>
      <c r="S24" s="11" t="n"/>
      <c r="T24" s="11" t="n"/>
      <c r="U24" s="16" t="n"/>
      <c r="V24" s="78" t="n"/>
      <c r="W24" s="78" t="n"/>
      <c r="X24" s="78" t="n"/>
      <c r="Y24" s="78" t="n"/>
      <c r="Z24" s="11" t="n"/>
      <c r="AA24" s="11" t="n"/>
      <c r="AB24" s="16" t="n"/>
      <c r="AC24" s="78" t="n"/>
      <c r="AD24" s="78" t="n"/>
      <c r="AE24" s="78" t="n"/>
      <c r="AF24" s="78" t="n"/>
      <c r="AG24" s="11" t="n"/>
      <c r="AH24" s="11" t="n"/>
      <c r="AI24" s="10" t="n"/>
      <c r="AJ24" s="78">
        <f>IF(COUNT(E24:AI24)=0,"",COUNT(E24:AI24))</f>
        <v/>
      </c>
      <c r="AK24" s="78">
        <f>IF(COUNT(E24:AI24)=0,"",SUM(E24:AI24))</f>
        <v/>
      </c>
    </row>
    <row r="25" ht="16.5" customHeight="1" thickBot="1">
      <c r="A25" s="78" t="n">
        <v>7</v>
      </c>
      <c r="B25" s="26" t="inlineStr">
        <is>
          <t>Хакбердиев Шахзод Фарход угли</t>
        </is>
      </c>
      <c r="C25" s="20" t="inlineStr">
        <is>
          <t>Омбор мудири-механик</t>
        </is>
      </c>
      <c r="D25" s="19" t="inlineStr">
        <is>
          <t>Бошқарув апарати мутахассиси</t>
        </is>
      </c>
      <c r="E25" s="11" t="n"/>
      <c r="F25" s="11" t="n"/>
      <c r="G25" s="78" t="n"/>
      <c r="H25" s="78" t="n"/>
      <c r="I25" s="78" t="n"/>
      <c r="J25" s="78" t="n"/>
      <c r="K25" s="78" t="n"/>
      <c r="L25" s="11" t="n"/>
      <c r="M25" s="11" t="n"/>
      <c r="N25" s="78" t="n"/>
      <c r="O25" s="78" t="n"/>
      <c r="P25" s="78" t="n"/>
      <c r="Q25" s="78" t="n"/>
      <c r="R25" s="78" t="n"/>
      <c r="S25" s="11" t="n"/>
      <c r="T25" s="11" t="n"/>
      <c r="U25" s="16" t="n"/>
      <c r="V25" s="78" t="n"/>
      <c r="W25" s="78" t="n"/>
      <c r="X25" s="78" t="n"/>
      <c r="Y25" s="78" t="n"/>
      <c r="Z25" s="11" t="n"/>
      <c r="AA25" s="11" t="n"/>
      <c r="AB25" s="16" t="n"/>
      <c r="AC25" s="78" t="n"/>
      <c r="AD25" s="78" t="n"/>
      <c r="AE25" s="78" t="n"/>
      <c r="AF25" s="78" t="n"/>
      <c r="AG25" s="11" t="n"/>
      <c r="AH25" s="11" t="n"/>
      <c r="AI25" s="10" t="n"/>
      <c r="AJ25" s="78">
        <f>IF(COUNT(E25:AI25)=0,"",COUNT(E25:AI25))</f>
        <v/>
      </c>
      <c r="AK25" s="78">
        <f>IF(COUNT(E25:AI25)=0,"",SUM(E25:AI25))</f>
        <v/>
      </c>
    </row>
    <row r="26" ht="15.75" customHeight="1" thickBot="1">
      <c r="A26" s="78" t="n">
        <v>8</v>
      </c>
      <c r="B26" s="20" t="inlineStr">
        <is>
          <t>Холмирзоева  Дилобар  Тоир кизи</t>
        </is>
      </c>
      <c r="C26" s="20" t="inlineStr">
        <is>
          <t>Отдел кадр</t>
        </is>
      </c>
      <c r="D26" s="19" t="inlineStr">
        <is>
          <t>Бошқарув апарати мутахассиси</t>
        </is>
      </c>
      <c r="E26" s="11" t="n"/>
      <c r="F26" s="11" t="n"/>
      <c r="G26" s="78" t="n"/>
      <c r="H26" s="78" t="n"/>
      <c r="I26" s="78" t="n"/>
      <c r="J26" s="78" t="n"/>
      <c r="K26" s="78" t="n"/>
      <c r="L26" s="11" t="n"/>
      <c r="M26" s="11" t="n"/>
      <c r="N26" s="78" t="n"/>
      <c r="O26" s="78" t="n"/>
      <c r="P26" s="78" t="n"/>
      <c r="Q26" s="78" t="n"/>
      <c r="R26" s="78" t="n"/>
      <c r="S26" s="11" t="n"/>
      <c r="T26" s="11" t="n"/>
      <c r="U26" s="16" t="n"/>
      <c r="V26" s="78" t="n"/>
      <c r="W26" s="78" t="n"/>
      <c r="X26" s="78" t="n"/>
      <c r="Y26" s="78" t="n"/>
      <c r="Z26" s="11" t="n"/>
      <c r="AA26" s="11" t="n"/>
      <c r="AB26" s="16" t="n"/>
      <c r="AC26" s="78" t="n"/>
      <c r="AD26" s="78" t="n"/>
      <c r="AE26" s="78" t="n"/>
      <c r="AF26" s="78" t="n"/>
      <c r="AG26" s="11" t="n"/>
      <c r="AH26" s="11" t="n"/>
      <c r="AI26" s="10" t="n"/>
      <c r="AJ26" s="78">
        <f>IF(COUNT(E26:AI26)=0,"",COUNT(E26:AI26))</f>
        <v/>
      </c>
      <c r="AK26" s="78">
        <f>IF(COUNT(E26:AI26)=0,"",SUM(E26:AI26))</f>
        <v/>
      </c>
    </row>
    <row r="27" ht="13.5" customHeight="1" thickBot="1">
      <c r="A27" s="78" t="n">
        <v>9</v>
      </c>
      <c r="B27" s="28" t="inlineStr">
        <is>
          <t>Худойназаров Самандар Алижон ўғли</t>
        </is>
      </c>
      <c r="C27" s="20" t="inlineStr">
        <is>
          <t>Дастурчи</t>
        </is>
      </c>
      <c r="D27" s="19" t="inlineStr">
        <is>
          <t>Бошқарув апарати мутахассиси</t>
        </is>
      </c>
      <c r="E27" s="11" t="n"/>
      <c r="F27" s="11" t="n"/>
      <c r="G27" s="78" t="n"/>
      <c r="H27" s="78" t="n"/>
      <c r="I27" s="78" t="n"/>
      <c r="J27" s="78" t="n"/>
      <c r="K27" s="78" t="n"/>
      <c r="L27" s="11" t="n"/>
      <c r="M27" s="11" t="n"/>
      <c r="N27" s="78" t="n"/>
      <c r="O27" s="78" t="n"/>
      <c r="P27" s="78" t="n"/>
      <c r="Q27" s="78" t="n"/>
      <c r="R27" s="78" t="n"/>
      <c r="S27" s="11" t="n"/>
      <c r="T27" s="11" t="n"/>
      <c r="U27" s="16" t="n"/>
      <c r="V27" s="78" t="n"/>
      <c r="W27" s="78" t="n"/>
      <c r="X27" s="78" t="n"/>
      <c r="Y27" s="78" t="n"/>
      <c r="Z27" s="11" t="n"/>
      <c r="AA27" s="11" t="n"/>
      <c r="AB27" s="16" t="n"/>
      <c r="AC27" s="78" t="n"/>
      <c r="AD27" s="78" t="n"/>
      <c r="AE27" s="78" t="n"/>
      <c r="AF27" s="78" t="n"/>
      <c r="AG27" s="11" t="n"/>
      <c r="AH27" s="11" t="n"/>
      <c r="AI27" s="10" t="n"/>
      <c r="AJ27" s="78">
        <f>IF(COUNT(E27:AI27)=0,"",COUNT(E27:AI27))</f>
        <v/>
      </c>
      <c r="AK27" s="78">
        <f>IF(COUNT(E27:AI27)=0,"",SUM(E27:AI27))</f>
        <v/>
      </c>
    </row>
    <row r="28" ht="15" customHeight="1" thickBot="1">
      <c r="A28" s="78" t="n">
        <v>10</v>
      </c>
      <c r="B28" s="27" t="inlineStr">
        <is>
          <t>Бобоев Илхом Абдукаримов</t>
        </is>
      </c>
      <c r="C28" s="20" t="inlineStr">
        <is>
          <t>Цех устаси №1</t>
        </is>
      </c>
      <c r="D28" s="19" t="inlineStr">
        <is>
          <t>Бошқарув апарати мутахассиси</t>
        </is>
      </c>
      <c r="E28" s="11" t="n"/>
      <c r="F28" s="11" t="n"/>
      <c r="G28" s="78" t="n"/>
      <c r="H28" s="78" t="n"/>
      <c r="I28" s="78" t="n"/>
      <c r="J28" s="78" t="n"/>
      <c r="K28" s="78" t="n"/>
      <c r="L28" s="11" t="n"/>
      <c r="M28" s="11" t="n"/>
      <c r="N28" s="78" t="n"/>
      <c r="O28" s="78" t="n"/>
      <c r="P28" s="78" t="n"/>
      <c r="Q28" s="78" t="n"/>
      <c r="R28" s="78" t="n"/>
      <c r="S28" s="11" t="n"/>
      <c r="T28" s="11" t="n"/>
      <c r="U28" s="78" t="n"/>
      <c r="V28" s="78" t="n"/>
      <c r="W28" s="78" t="n"/>
      <c r="X28" s="78" t="n"/>
      <c r="Y28" s="78" t="n"/>
      <c r="Z28" s="11" t="n"/>
      <c r="AA28" s="11" t="n"/>
      <c r="AB28" s="16" t="n"/>
      <c r="AC28" s="78" t="n"/>
      <c r="AD28" s="78" t="n"/>
      <c r="AE28" s="78" t="n"/>
      <c r="AF28" s="78" t="n"/>
      <c r="AG28" s="11" t="n"/>
      <c r="AH28" s="11" t="n"/>
      <c r="AI28" s="10" t="n"/>
      <c r="AJ28" s="78">
        <f>IF(COUNT(E28:AI28)=0,"",COUNT(E28:AI28))</f>
        <v/>
      </c>
      <c r="AK28" s="78">
        <f>IF(COUNT(E28:AI28)=0,"",SUM(E28:AI28))</f>
        <v/>
      </c>
    </row>
    <row r="29" ht="15.75" customHeight="1" thickBot="1">
      <c r="A29" s="78" t="n">
        <v>11</v>
      </c>
      <c r="B29" s="26" t="inlineStr">
        <is>
          <t>Ашурова Юлдузхон</t>
        </is>
      </c>
      <c r="C29" s="20" t="inlineStr">
        <is>
          <t>Ошпаз</t>
        </is>
      </c>
      <c r="D29" s="19" t="inlineStr">
        <is>
          <t>Хизмат кўрсатиш бўлими</t>
        </is>
      </c>
      <c r="E29" s="11" t="n"/>
      <c r="F29" s="11" t="n"/>
      <c r="G29" s="78" t="n"/>
      <c r="H29" s="78" t="n"/>
      <c r="I29" s="78" t="n"/>
      <c r="J29" s="78" t="n"/>
      <c r="K29" s="78" t="n"/>
      <c r="L29" s="11" t="n"/>
      <c r="M29" s="11" t="n"/>
      <c r="N29" s="78" t="n"/>
      <c r="O29" s="78" t="n"/>
      <c r="P29" s="78" t="n"/>
      <c r="Q29" s="78" t="n"/>
      <c r="R29" s="78" t="n"/>
      <c r="S29" s="11" t="n"/>
      <c r="T29" s="11" t="n"/>
      <c r="U29" s="16" t="n"/>
      <c r="V29" s="78" t="n"/>
      <c r="W29" s="78" t="n"/>
      <c r="X29" s="78" t="n"/>
      <c r="Y29" s="78" t="n"/>
      <c r="Z29" s="11" t="n"/>
      <c r="AA29" s="11" t="n"/>
      <c r="AB29" s="16" t="n"/>
      <c r="AC29" s="78" t="n"/>
      <c r="AD29" s="78" t="n"/>
      <c r="AE29" s="78" t="n"/>
      <c r="AF29" s="78" t="n"/>
      <c r="AG29" s="11" t="n"/>
      <c r="AH29" s="11" t="n"/>
      <c r="AI29" s="10" t="n"/>
      <c r="AJ29" s="78">
        <f>IF(COUNT(E29:AI29)=0,"",COUNT(E29:AI29))</f>
        <v/>
      </c>
      <c r="AK29" s="78">
        <f>IF(COUNT(E29:AI29)=0,"",SUM(E29:AI29))</f>
        <v/>
      </c>
    </row>
    <row r="30" ht="17.25" customHeight="1" thickBot="1">
      <c r="A30" s="78" t="n">
        <v>12</v>
      </c>
      <c r="B30" s="26" t="inlineStr">
        <is>
          <t>Рахматуллаева Шарифа  Мингбобоевна</t>
        </is>
      </c>
      <c r="C30" s="20" t="inlineStr">
        <is>
          <t>Фаррош</t>
        </is>
      </c>
      <c r="D30" s="19" t="inlineStr">
        <is>
          <t>Хизмат кўрсатиш бўлими</t>
        </is>
      </c>
      <c r="E30" s="11" t="n"/>
      <c r="F30" s="11" t="n"/>
      <c r="G30" s="78" t="n"/>
      <c r="H30" s="11" t="n"/>
      <c r="I30" s="78" t="n"/>
      <c r="J30" s="11" t="n"/>
      <c r="K30" s="78" t="n"/>
      <c r="L30" s="11" t="n"/>
      <c r="M30" s="11" t="n"/>
      <c r="N30" s="78" t="n"/>
      <c r="O30" s="11" t="n"/>
      <c r="P30" s="78" t="n"/>
      <c r="Q30" s="11" t="n"/>
      <c r="R30" s="78" t="n"/>
      <c r="S30" s="11" t="n"/>
      <c r="T30" s="11" t="n"/>
      <c r="U30" s="16" t="n"/>
      <c r="V30" s="11" t="n"/>
      <c r="W30" s="78" t="n"/>
      <c r="X30" s="11" t="n"/>
      <c r="Y30" s="78" t="n"/>
      <c r="Z30" s="11" t="n"/>
      <c r="AA30" s="11" t="n"/>
      <c r="AB30" s="16" t="n"/>
      <c r="AC30" s="11" t="n"/>
      <c r="AD30" s="78" t="n"/>
      <c r="AE30" s="11" t="n"/>
      <c r="AF30" s="78" t="n"/>
      <c r="AG30" s="11" t="n"/>
      <c r="AH30" s="11" t="n"/>
      <c r="AI30" s="10" t="n"/>
      <c r="AJ30" s="78">
        <f>IF(COUNT(E30:AI30)=0,"",COUNT(E30:AI30))</f>
        <v/>
      </c>
      <c r="AK30" s="78">
        <f>IF(COUNT(E30:AI30)=0,"",SUM(E30:AI30))</f>
        <v/>
      </c>
    </row>
    <row r="31" ht="16.5" customHeight="1" thickBot="1">
      <c r="A31" s="78" t="n">
        <v>13</v>
      </c>
      <c r="B31" s="26" t="inlineStr">
        <is>
          <t>Нозимов Исматилло  Нормуродович</t>
        </is>
      </c>
      <c r="C31" s="20" t="inlineStr">
        <is>
          <t xml:space="preserve">Буйокчи сувокчи </t>
        </is>
      </c>
      <c r="D31" s="19" t="inlineStr">
        <is>
          <t>Хизмат кўрсатиш бўлими</t>
        </is>
      </c>
      <c r="E31" s="11" t="n"/>
      <c r="F31" s="11" t="n"/>
      <c r="G31" s="78" t="n"/>
      <c r="H31" s="78" t="n"/>
      <c r="I31" s="78" t="n"/>
      <c r="J31" s="78" t="n"/>
      <c r="K31" s="78" t="n"/>
      <c r="L31" s="11" t="n"/>
      <c r="M31" s="11" t="n"/>
      <c r="N31" s="78" t="n"/>
      <c r="O31" s="78" t="n"/>
      <c r="P31" s="78" t="n"/>
      <c r="Q31" s="78" t="n"/>
      <c r="R31" s="78" t="n"/>
      <c r="S31" s="11" t="n"/>
      <c r="T31" s="11" t="n"/>
      <c r="U31" s="16" t="n"/>
      <c r="V31" s="78" t="n"/>
      <c r="W31" s="78" t="n"/>
      <c r="X31" s="78" t="n"/>
      <c r="Y31" s="78" t="n"/>
      <c r="Z31" s="11" t="n"/>
      <c r="AA31" s="11" t="n"/>
      <c r="AB31" s="16" t="n"/>
      <c r="AC31" s="78" t="n"/>
      <c r="AD31" s="78" t="n"/>
      <c r="AE31" s="78" t="n"/>
      <c r="AF31" s="78" t="n"/>
      <c r="AG31" s="11" t="n"/>
      <c r="AH31" s="11" t="n"/>
      <c r="AI31" s="10" t="n"/>
      <c r="AJ31" s="78">
        <f>IF(COUNT(E31:AI31)=0,"",COUNT(E31:AI31))</f>
        <v/>
      </c>
      <c r="AK31" s="78">
        <f>IF(COUNT(E31:AI31)=0,"",SUM(E31:AI31))</f>
        <v/>
      </c>
    </row>
    <row r="32" ht="15.75" customHeight="1" thickBot="1">
      <c r="A32" s="78" t="n">
        <v>14</v>
      </c>
      <c r="B32" s="25" t="inlineStr">
        <is>
          <t>Шарипов Абдумалик Гапарович</t>
        </is>
      </c>
      <c r="C32" s="20" t="inlineStr">
        <is>
          <t>Электромонтёр</t>
        </is>
      </c>
      <c r="D32" s="19" t="inlineStr">
        <is>
          <t>Бош механик бўлими</t>
        </is>
      </c>
      <c r="E32" s="11" t="n"/>
      <c r="F32" s="11" t="n"/>
      <c r="G32" s="78" t="n"/>
      <c r="H32" s="78" t="n"/>
      <c r="I32" s="78" t="n"/>
      <c r="J32" s="78" t="n"/>
      <c r="K32" s="78" t="n"/>
      <c r="L32" s="11" t="n"/>
      <c r="M32" s="11" t="n"/>
      <c r="N32" s="78" t="n"/>
      <c r="O32" s="78" t="n"/>
      <c r="P32" s="78" t="n"/>
      <c r="Q32" s="78" t="n"/>
      <c r="R32" s="78" t="n"/>
      <c r="S32" s="11" t="n"/>
      <c r="T32" s="11" t="n"/>
      <c r="U32" s="16" t="n"/>
      <c r="V32" s="78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0" t="n"/>
      <c r="AJ32" s="78">
        <f>IF(COUNT(E32:AI32)=0,"",COUNT(E32:AI32))</f>
        <v/>
      </c>
      <c r="AK32" s="78">
        <f>IF(COUNT(E32:AI32)=0,"",SUM(E32:AI32))</f>
        <v/>
      </c>
    </row>
    <row r="33" ht="15.75" customHeight="1" thickBot="1">
      <c r="A33" s="78" t="n">
        <v>15</v>
      </c>
      <c r="B33" s="25" t="inlineStr">
        <is>
          <t>Бабаев Собир Ниёзмуродович</t>
        </is>
      </c>
      <c r="C33" s="20" t="inlineStr">
        <is>
          <t>Хайдовчи (Булдозер)</t>
        </is>
      </c>
      <c r="D33" s="19" t="inlineStr">
        <is>
          <t>Бош механик бўлими</t>
        </is>
      </c>
      <c r="E33" s="11" t="n"/>
      <c r="F33" s="11" t="n"/>
      <c r="G33" s="78" t="n"/>
      <c r="H33" s="78" t="n"/>
      <c r="I33" s="78" t="n"/>
      <c r="J33" s="78" t="n"/>
      <c r="K33" s="78" t="n"/>
      <c r="L33" s="11" t="n"/>
      <c r="M33" s="11" t="n"/>
      <c r="N33" s="78" t="n"/>
      <c r="O33" s="78" t="n"/>
      <c r="P33" s="78" t="n"/>
      <c r="Q33" s="78" t="n"/>
      <c r="R33" s="78" t="n"/>
      <c r="S33" s="11" t="n"/>
      <c r="T33" s="11" t="n"/>
      <c r="U33" s="16" t="n"/>
      <c r="V33" s="78" t="n"/>
      <c r="W33" s="78" t="n"/>
      <c r="X33" s="78" t="n"/>
      <c r="Y33" s="78" t="n"/>
      <c r="Z33" s="11" t="n"/>
      <c r="AA33" s="11" t="n"/>
      <c r="AB33" s="16" t="n"/>
      <c r="AC33" s="78" t="n"/>
      <c r="AD33" s="78" t="n"/>
      <c r="AE33" s="78" t="n"/>
      <c r="AF33" s="78" t="n"/>
      <c r="AG33" s="11" t="n"/>
      <c r="AH33" s="11" t="n"/>
      <c r="AI33" s="10" t="n"/>
      <c r="AJ33" s="78">
        <f>IF(COUNT(E33:AI33)=0,"",COUNT(E33:AI33))</f>
        <v/>
      </c>
      <c r="AK33" s="78">
        <f>IF(COUNT(E33:AI33)=0,"",SUM(E33:AI33))</f>
        <v/>
      </c>
    </row>
    <row r="34" ht="15.75" customHeight="1" thickBot="1">
      <c r="A34" s="78" t="n">
        <v>16</v>
      </c>
      <c r="B34" s="25" t="inlineStr">
        <is>
          <t>Чориев Туракул  Аллоёрович</t>
        </is>
      </c>
      <c r="C34" s="20" t="inlineStr">
        <is>
          <t>Хайдовчи (Тягач)</t>
        </is>
      </c>
      <c r="D34" s="19" t="inlineStr">
        <is>
          <t>Бош механик бўлими</t>
        </is>
      </c>
      <c r="E34" s="11" t="n"/>
      <c r="F34" s="11" t="n"/>
      <c r="G34" s="78" t="n"/>
      <c r="H34" s="78" t="n"/>
      <c r="I34" s="78" t="n"/>
      <c r="J34" s="78" t="n"/>
      <c r="K34" s="78" t="n"/>
      <c r="L34" s="11" t="n"/>
      <c r="M34" s="11" t="n"/>
      <c r="N34" s="78" t="n"/>
      <c r="O34" s="78" t="n"/>
      <c r="P34" s="78" t="n"/>
      <c r="Q34" s="78" t="n"/>
      <c r="R34" s="78" t="n"/>
      <c r="S34" s="11" t="n"/>
      <c r="T34" s="11" t="n"/>
      <c r="U34" s="16" t="n"/>
      <c r="V34" s="78" t="n"/>
      <c r="W34" s="78" t="n"/>
      <c r="X34" s="78" t="n"/>
      <c r="Y34" s="78" t="n"/>
      <c r="Z34" s="11" t="n"/>
      <c r="AA34" s="11" t="n"/>
      <c r="AB34" s="16" t="n"/>
      <c r="AC34" s="78" t="n"/>
      <c r="AD34" s="78" t="n"/>
      <c r="AE34" s="78" t="n"/>
      <c r="AF34" s="78" t="n"/>
      <c r="AG34" s="11" t="n"/>
      <c r="AH34" s="11" t="n"/>
      <c r="AI34" s="10" t="n"/>
      <c r="AJ34" s="78">
        <f>IF(COUNT(E34:AI34)=0,"",COUNT(E34:AI34))</f>
        <v/>
      </c>
      <c r="AK34" s="78">
        <f>IF(COUNT(E34:AI34)=0,"",SUM(E34:AI34))</f>
        <v/>
      </c>
    </row>
    <row r="35" ht="15" customHeight="1" thickBot="1">
      <c r="A35" s="78" t="n">
        <v>17</v>
      </c>
      <c r="B35" s="25" t="inlineStr">
        <is>
          <t>Муродуллаев Шухрат Асатулло угли</t>
        </is>
      </c>
      <c r="C35" s="20" t="inlineStr">
        <is>
          <t>Хайдовчи (Самосвал)</t>
        </is>
      </c>
      <c r="D35" s="19" t="inlineStr">
        <is>
          <t>Бош механик бўлими</t>
        </is>
      </c>
      <c r="E35" s="11" t="n"/>
      <c r="F35" s="11" t="n"/>
      <c r="G35" s="78" t="n"/>
      <c r="H35" s="78" t="n"/>
      <c r="I35" s="78" t="n"/>
      <c r="J35" s="78" t="n"/>
      <c r="K35" s="78" t="n"/>
      <c r="L35" s="11" t="n"/>
      <c r="M35" s="11" t="n"/>
      <c r="N35" s="78" t="n"/>
      <c r="O35" s="78" t="n"/>
      <c r="P35" s="78" t="n"/>
      <c r="Q35" s="78" t="n"/>
      <c r="R35" s="78" t="n"/>
      <c r="S35" s="11" t="n"/>
      <c r="T35" s="11" t="n"/>
      <c r="U35" s="16" t="n"/>
      <c r="V35" s="78" t="n"/>
      <c r="W35" s="78" t="n"/>
      <c r="X35" s="78" t="n"/>
      <c r="Y35" s="78" t="n"/>
      <c r="Z35" s="11" t="n"/>
      <c r="AA35" s="11" t="n"/>
      <c r="AB35" s="16" t="n"/>
      <c r="AC35" s="78" t="n"/>
      <c r="AD35" s="78" t="n"/>
      <c r="AE35" s="78" t="n"/>
      <c r="AF35" s="78" t="n"/>
      <c r="AG35" s="11" t="n"/>
      <c r="AH35" s="11" t="n"/>
      <c r="AI35" s="10" t="n"/>
      <c r="AJ35" s="78">
        <f>IF(COUNT(E35:AI35)=0,"",COUNT(E35:AI35))</f>
        <v/>
      </c>
      <c r="AK35" s="78">
        <f>IF(COUNT(E35:AI35)=0,"",SUM(E35:AI35))</f>
        <v/>
      </c>
    </row>
    <row r="36" ht="15.75" customHeight="1" thickBot="1">
      <c r="A36" s="78" t="n">
        <v>18</v>
      </c>
      <c r="B36" s="25" t="inlineStr">
        <is>
          <t xml:space="preserve">Тошев Абдулхай Нарзуллаевич </t>
        </is>
      </c>
      <c r="C36" s="20" t="inlineStr">
        <is>
          <t>Электрпайвандчи</t>
        </is>
      </c>
      <c r="D36" s="19" t="inlineStr">
        <is>
          <t>Бош механик бўлими</t>
        </is>
      </c>
      <c r="E36" s="11" t="n"/>
      <c r="F36" s="11" t="n"/>
      <c r="G36" s="78" t="n"/>
      <c r="H36" s="78" t="n"/>
      <c r="I36" s="78" t="n"/>
      <c r="J36" s="78" t="n"/>
      <c r="K36" s="78" t="n"/>
      <c r="L36" s="11" t="n"/>
      <c r="M36" s="11" t="n"/>
      <c r="N36" s="78" t="n"/>
      <c r="O36" s="78" t="n"/>
      <c r="P36" s="78" t="n"/>
      <c r="Q36" s="78" t="n"/>
      <c r="R36" s="78" t="n"/>
      <c r="S36" s="11" t="n"/>
      <c r="T36" s="11" t="n"/>
      <c r="U36" s="16" t="n"/>
      <c r="V36" s="78" t="n"/>
      <c r="W36" s="78" t="n"/>
      <c r="X36" s="78" t="n"/>
      <c r="Y36" s="78" t="n"/>
      <c r="Z36" s="11" t="n"/>
      <c r="AA36" s="11" t="n"/>
      <c r="AB36" s="16" t="n"/>
      <c r="AC36" s="78" t="n"/>
      <c r="AD36" s="78" t="n"/>
      <c r="AE36" s="78" t="n"/>
      <c r="AF36" s="78" t="n"/>
      <c r="AG36" s="11" t="n"/>
      <c r="AH36" s="11" t="n"/>
      <c r="AI36" s="10" t="n"/>
      <c r="AJ36" s="78">
        <f>IF(COUNT(E36:AI36)=0,"",COUNT(E36:AI36))</f>
        <v/>
      </c>
      <c r="AK36" s="78">
        <f>IF(COUNT(E36:AI36)=0,"",SUM(E36:AI36))</f>
        <v/>
      </c>
    </row>
    <row r="37" ht="18" customHeight="1" thickBot="1">
      <c r="A37" s="78" t="n">
        <v>19</v>
      </c>
      <c r="B37" s="26" t="inlineStr">
        <is>
          <t>Рахимов Шахриддин  Насриддинович</t>
        </is>
      </c>
      <c r="C37" s="20" t="inlineStr">
        <is>
          <t>Котёлщик</t>
        </is>
      </c>
      <c r="D37" s="19" t="inlineStr">
        <is>
          <t xml:space="preserve">Ишлаб чиқариш бўлими </t>
        </is>
      </c>
      <c r="E37" s="11" t="n"/>
      <c r="F37" s="11" t="n"/>
      <c r="G37" s="78" t="n"/>
      <c r="H37" s="78" t="n"/>
      <c r="I37" s="78" t="n"/>
      <c r="J37" s="78" t="n"/>
      <c r="K37" s="78" t="n"/>
      <c r="L37" s="11" t="n"/>
      <c r="M37" s="11" t="n"/>
      <c r="N37" s="78" t="n"/>
      <c r="O37" s="78" t="n"/>
      <c r="P37" s="78" t="n"/>
      <c r="Q37" s="78" t="n"/>
      <c r="R37" s="78" t="n"/>
      <c r="S37" s="11" t="n"/>
      <c r="T37" s="11" t="n"/>
      <c r="U37" s="16" t="n"/>
      <c r="V37" s="78" t="n"/>
      <c r="W37" s="78" t="n"/>
      <c r="X37" s="78" t="n"/>
      <c r="Y37" s="78" t="n"/>
      <c r="Z37" s="11" t="n"/>
      <c r="AA37" s="11" t="n"/>
      <c r="AB37" s="16" t="n"/>
      <c r="AC37" s="78" t="n"/>
      <c r="AD37" s="78" t="n"/>
      <c r="AE37" s="78" t="n"/>
      <c r="AF37" s="78" t="n"/>
      <c r="AG37" s="11" t="n"/>
      <c r="AH37" s="11" t="n"/>
      <c r="AI37" s="10" t="n"/>
      <c r="AJ37" s="78">
        <f>IF(COUNT(E37:AI37)=0,"",COUNT(E37:AI37))</f>
        <v/>
      </c>
      <c r="AK37" s="78">
        <f>IF(COUNT(E37:AI37)=0,"",SUM(E37:AI37))</f>
        <v/>
      </c>
    </row>
    <row r="38" ht="15" customHeight="1" thickBot="1">
      <c r="A38" s="78" t="n">
        <v>20</v>
      </c>
      <c r="B38" s="26" t="inlineStr">
        <is>
          <t>Рахимов Ахлиддин  Насриддинович</t>
        </is>
      </c>
      <c r="C38" s="20" t="inlineStr">
        <is>
          <t>Компрессорчи</t>
        </is>
      </c>
      <c r="D38" s="19" t="inlineStr">
        <is>
          <t xml:space="preserve">Ишлаб чиқариш бўлими </t>
        </is>
      </c>
      <c r="E38" s="11" t="n"/>
      <c r="F38" s="11" t="n"/>
      <c r="G38" s="78" t="n"/>
      <c r="H38" s="78" t="n"/>
      <c r="I38" s="78" t="n"/>
      <c r="J38" s="78" t="n"/>
      <c r="K38" s="78" t="n"/>
      <c r="L38" s="11" t="n"/>
      <c r="M38" s="11" t="n"/>
      <c r="N38" s="78" t="n"/>
      <c r="O38" s="78" t="n"/>
      <c r="P38" s="78" t="n"/>
      <c r="Q38" s="78" t="n"/>
      <c r="R38" s="78" t="n"/>
      <c r="S38" s="11" t="n"/>
      <c r="T38" s="11" t="n"/>
      <c r="U38" s="16" t="n"/>
      <c r="V38" s="78" t="n"/>
      <c r="W38" s="78" t="n"/>
      <c r="X38" s="78" t="n"/>
      <c r="Y38" s="78" t="n"/>
      <c r="Z38" s="11" t="n"/>
      <c r="AA38" s="11" t="n"/>
      <c r="AB38" s="16" t="n"/>
      <c r="AC38" s="78" t="n"/>
      <c r="AD38" s="78" t="n"/>
      <c r="AE38" s="78" t="n"/>
      <c r="AF38" s="78" t="n"/>
      <c r="AG38" s="11" t="n"/>
      <c r="AH38" s="11" t="n"/>
      <c r="AI38" s="10" t="n"/>
      <c r="AJ38" s="78">
        <f>IF(COUNT(E38:AI38)=0,"",COUNT(E38:AI38))</f>
        <v/>
      </c>
      <c r="AK38" s="78">
        <f>IF(COUNT(E38:AI38)=0,"",SUM(E38:AI38))</f>
        <v/>
      </c>
    </row>
    <row r="39" ht="15" customHeight="1" thickBot="1">
      <c r="A39" s="78" t="n">
        <v>21</v>
      </c>
      <c r="B39" s="26" t="inlineStr">
        <is>
          <t>Султонов Абдуфаттох Назарович</t>
        </is>
      </c>
      <c r="C39" s="20" t="inlineStr">
        <is>
          <t>БСУ оператори</t>
        </is>
      </c>
      <c r="D39" s="19" t="inlineStr">
        <is>
          <t xml:space="preserve">Ишлаб чиқариш бўлими </t>
        </is>
      </c>
      <c r="E39" s="11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78">
        <f>IF(COUNT(E39:AI39)=0,"",COUNT(E39:AI39))</f>
        <v/>
      </c>
      <c r="AK39" s="78">
        <f>IF(COUNT(E39:AI39)=0,"",SUM(E39:AI39))</f>
        <v/>
      </c>
    </row>
    <row r="40" ht="15.75" customHeight="1" thickBot="1">
      <c r="A40" s="78" t="n">
        <v>22</v>
      </c>
      <c r="B40" s="26" t="inlineStr">
        <is>
          <t>Султонов Нуриддин Қурбоналиевич</t>
        </is>
      </c>
      <c r="C40" s="20" t="inlineStr">
        <is>
          <t>БСУ оператори</t>
        </is>
      </c>
      <c r="D40" s="19" t="inlineStr">
        <is>
          <t xml:space="preserve">Ишлаб чиқариш бўлими </t>
        </is>
      </c>
      <c r="E40" s="11" t="n"/>
      <c r="F40" s="11" t="n"/>
      <c r="G40" s="78" t="n"/>
      <c r="H40" s="78" t="n"/>
      <c r="I40" s="78" t="n"/>
      <c r="J40" s="78" t="n"/>
      <c r="K40" s="78" t="n"/>
      <c r="L40" s="11" t="n"/>
      <c r="M40" s="11" t="n"/>
      <c r="N40" s="78" t="n"/>
      <c r="O40" s="78" t="n"/>
      <c r="P40" s="78" t="n"/>
      <c r="Q40" s="78" t="n"/>
      <c r="R40" s="78" t="n"/>
      <c r="S40" s="11" t="n"/>
      <c r="T40" s="11" t="n"/>
      <c r="U40" s="16" t="n"/>
      <c r="V40" s="78" t="n"/>
      <c r="W40" s="16" t="n"/>
      <c r="X40" s="78" t="n"/>
      <c r="Y40" s="78" t="n"/>
      <c r="Z40" s="11" t="n"/>
      <c r="AA40" s="11" t="n"/>
      <c r="AB40" s="16" t="n"/>
      <c r="AC40" s="78" t="n"/>
      <c r="AD40" s="78" t="n"/>
      <c r="AE40" s="78" t="n"/>
      <c r="AF40" s="11" t="n"/>
      <c r="AG40" s="11" t="n"/>
      <c r="AH40" s="11" t="n"/>
      <c r="AI40" s="10" t="n"/>
      <c r="AJ40" s="78">
        <f>IF(COUNT(E40:AI40)=0,"",COUNT(E40:AI40))</f>
        <v/>
      </c>
      <c r="AK40" s="78">
        <f>IF(COUNT(E40:AI40)=0,"",SUM(E40:AI40))</f>
        <v/>
      </c>
    </row>
    <row r="41" ht="16.5" customHeight="1" thickBot="1">
      <c r="A41" s="78" t="n">
        <v>23</v>
      </c>
      <c r="B41" s="21" t="inlineStr">
        <is>
          <t xml:space="preserve"> Мўминов Жўрабек Тургунович</t>
        </is>
      </c>
      <c r="C41" s="20" t="inlineStr">
        <is>
          <t>БСУ оператори</t>
        </is>
      </c>
      <c r="D41" s="19" t="inlineStr">
        <is>
          <t xml:space="preserve">Ишлаб чиқариш бўлими </t>
        </is>
      </c>
      <c r="E41" s="11" t="n"/>
      <c r="F41" s="11" t="n"/>
      <c r="G41" s="78" t="n"/>
      <c r="H41" s="78" t="n"/>
      <c r="I41" s="78" t="n"/>
      <c r="J41" s="78" t="n"/>
      <c r="K41" s="78" t="n"/>
      <c r="L41" s="11" t="n"/>
      <c r="M41" s="11" t="n"/>
      <c r="N41" s="78" t="n"/>
      <c r="O41" s="11" t="n"/>
      <c r="P41" s="78" t="n"/>
      <c r="Q41" s="78" t="n"/>
      <c r="R41" s="78" t="n"/>
      <c r="S41" s="11" t="n"/>
      <c r="T41" s="11" t="n"/>
      <c r="U41" s="16" t="n"/>
      <c r="V41" s="78" t="n"/>
      <c r="W41" s="78" t="n"/>
      <c r="X41" s="78" t="n"/>
      <c r="Y41" s="78" t="n"/>
      <c r="Z41" s="11" t="n"/>
      <c r="AA41" s="11" t="n"/>
      <c r="AB41" s="16" t="n"/>
      <c r="AC41" s="78" t="n"/>
      <c r="AD41" s="78" t="n"/>
      <c r="AE41" s="78" t="n"/>
      <c r="AF41" s="78" t="n"/>
      <c r="AG41" s="11" t="n"/>
      <c r="AH41" s="11" t="n"/>
      <c r="AI41" s="10" t="n"/>
      <c r="AJ41" s="78">
        <f>IF(COUNT(E41:AI41)=0,"",COUNT(E41:AI41))</f>
        <v/>
      </c>
      <c r="AK41" s="78">
        <f>IF(COUNT(E41:AI41)=0,"",SUM(E41:AI41))</f>
        <v/>
      </c>
    </row>
    <row r="42" ht="15.75" customHeight="1" thickBot="1">
      <c r="A42" s="78" t="n">
        <v>24</v>
      </c>
      <c r="B42" s="25" t="inlineStr">
        <is>
          <t>Каландаров Холмурод Холбобоевич</t>
        </is>
      </c>
      <c r="C42" s="20" t="inlineStr">
        <is>
          <t>Кран машинист</t>
        </is>
      </c>
      <c r="D42" s="19" t="inlineStr">
        <is>
          <t xml:space="preserve">Ишлаб чиқариш бўлими </t>
        </is>
      </c>
      <c r="E42" s="11" t="n"/>
      <c r="F42" s="11" t="n"/>
      <c r="G42" s="78" t="n"/>
      <c r="H42" s="16" t="n"/>
      <c r="I42" s="78" t="n"/>
      <c r="J42" s="11" t="n"/>
      <c r="K42" s="78" t="n"/>
      <c r="L42" s="11" t="n"/>
      <c r="M42" s="11" t="n"/>
      <c r="N42" s="78" t="n"/>
      <c r="O42" s="11" t="n"/>
      <c r="P42" s="11" t="n"/>
      <c r="Q42" s="11" t="n"/>
      <c r="R42" s="11" t="n"/>
      <c r="S42" s="11" t="n"/>
      <c r="T42" s="11" t="n"/>
      <c r="U42" s="16" t="n"/>
      <c r="V42" s="16" t="n"/>
      <c r="W42" s="78" t="n"/>
      <c r="X42" s="16" t="n"/>
      <c r="Y42" s="16" t="n"/>
      <c r="Z42" s="11" t="n"/>
      <c r="AA42" s="11" t="n"/>
      <c r="AB42" s="16" t="n"/>
      <c r="AC42" s="78" t="n"/>
      <c r="AD42" s="78" t="n"/>
      <c r="AE42" s="78" t="n"/>
      <c r="AF42" s="78" t="n"/>
      <c r="AG42" s="11" t="n"/>
      <c r="AH42" s="11" t="n"/>
      <c r="AI42" s="10" t="n"/>
      <c r="AJ42" s="78">
        <f>IF(COUNT(E42:AI42)=0,"",COUNT(E42:AI42))</f>
        <v/>
      </c>
      <c r="AK42" s="78">
        <f>IF(COUNT(E42:AI42)=0,"",SUM(E42:AI42))</f>
        <v/>
      </c>
    </row>
    <row r="43" ht="17.25" customHeight="1" thickBot="1">
      <c r="A43" s="78" t="n">
        <v>25</v>
      </c>
      <c r="B43" s="26" t="inlineStr">
        <is>
          <t>Ниёзов Сирожиддин Файзиддинович</t>
        </is>
      </c>
      <c r="C43" s="20" t="inlineStr">
        <is>
          <t>Кран машинист</t>
        </is>
      </c>
      <c r="D43" s="19" t="inlineStr">
        <is>
          <t xml:space="preserve">Ишлаб чиқариш бўлими </t>
        </is>
      </c>
      <c r="E43" s="11" t="n"/>
      <c r="F43" s="11" t="n"/>
      <c r="G43" s="78" t="n"/>
      <c r="H43" s="78" t="n"/>
      <c r="I43" s="78" t="n"/>
      <c r="J43" s="78" t="n"/>
      <c r="K43" s="78" t="n"/>
      <c r="L43" s="11" t="n"/>
      <c r="M43" s="11" t="n"/>
      <c r="N43" s="78" t="n"/>
      <c r="O43" s="78" t="n"/>
      <c r="P43" s="78" t="n"/>
      <c r="Q43" s="78" t="n"/>
      <c r="R43" s="78" t="n"/>
      <c r="S43" s="11" t="n"/>
      <c r="T43" s="11" t="n"/>
      <c r="U43" s="16" t="n"/>
      <c r="V43" s="78" t="n"/>
      <c r="W43" s="78" t="n"/>
      <c r="X43" s="16" t="n"/>
      <c r="Y43" s="78" t="n"/>
      <c r="Z43" s="11" t="n"/>
      <c r="AA43" s="11" t="n"/>
      <c r="AB43" s="16" t="n"/>
      <c r="AC43" s="78" t="n"/>
      <c r="AD43" s="78" t="n"/>
      <c r="AE43" s="78" t="n"/>
      <c r="AF43" s="78" t="n"/>
      <c r="AG43" s="11" t="n"/>
      <c r="AH43" s="11" t="n"/>
      <c r="AI43" s="10" t="n"/>
      <c r="AJ43" s="78">
        <f>IF(COUNT(E43:AI43)=0,"",COUNT(E43:AI43))</f>
        <v/>
      </c>
      <c r="AK43" s="78">
        <f>IF(COUNT(E43:AI43)=0,"",SUM(E43:AI43))</f>
        <v/>
      </c>
    </row>
    <row r="44" ht="15.75" customHeight="1" thickBot="1">
      <c r="A44" s="78" t="n">
        <v>26</v>
      </c>
      <c r="B44" s="26" t="inlineStr">
        <is>
          <t>Шодиев Иззат Саид ўғли</t>
        </is>
      </c>
      <c r="C44" s="20" t="inlineStr">
        <is>
          <t>Сварщик</t>
        </is>
      </c>
      <c r="D44" s="19" t="inlineStr">
        <is>
          <t xml:space="preserve">Ишлаб чиқариш бўлими </t>
        </is>
      </c>
      <c r="E44" s="11" t="n"/>
      <c r="F44" s="11" t="n"/>
      <c r="G44" s="78" t="n"/>
      <c r="H44" s="78" t="n"/>
      <c r="I44" s="78" t="n"/>
      <c r="J44" s="78" t="n"/>
      <c r="K44" s="78" t="n"/>
      <c r="L44" s="11" t="n"/>
      <c r="M44" s="11" t="n"/>
      <c r="N44" s="78" t="n"/>
      <c r="O44" s="78" t="n"/>
      <c r="P44" s="17" t="n"/>
      <c r="Q44" s="17" t="n"/>
      <c r="R44" s="78" t="n"/>
      <c r="S44" s="11" t="n"/>
      <c r="T44" s="11" t="n"/>
      <c r="U44" s="16" t="n"/>
      <c r="V44" s="78" t="n"/>
      <c r="W44" s="78" t="n"/>
      <c r="X44" s="78" t="n"/>
      <c r="Y44" s="78" t="n"/>
      <c r="Z44" s="11" t="n"/>
      <c r="AA44" s="11" t="n"/>
      <c r="AB44" s="16" t="n"/>
      <c r="AC44" s="11" t="n"/>
      <c r="AD44" s="78" t="n"/>
      <c r="AE44" s="78" t="n"/>
      <c r="AF44" s="78" t="n"/>
      <c r="AG44" s="11" t="n"/>
      <c r="AH44" s="11" t="n"/>
      <c r="AI44" s="10" t="n"/>
      <c r="AJ44" s="78">
        <f>IF(COUNT(E44:AI44)=0,"",COUNT(E44:AI44))</f>
        <v/>
      </c>
      <c r="AK44" s="78">
        <f>IF(COUNT(E44:AI44)=0,"",SUM(E44:AI44))</f>
        <v/>
      </c>
    </row>
    <row r="45" ht="15" customHeight="1" thickBot="1">
      <c r="A45" s="78" t="n">
        <v>27</v>
      </c>
      <c r="B45" s="26" t="inlineStr">
        <is>
          <t>Рўзиқулов Шахбоз Ҳусан ўғли</t>
        </is>
      </c>
      <c r="C45" s="20" t="inlineStr">
        <is>
          <t>Сварщик</t>
        </is>
      </c>
      <c r="D45" s="19" t="inlineStr">
        <is>
          <t xml:space="preserve">Ишлаб чиқариш бўлими </t>
        </is>
      </c>
      <c r="E45" s="11" t="n"/>
      <c r="F45" s="11" t="n"/>
      <c r="G45" s="78" t="n"/>
      <c r="H45" s="78" t="n"/>
      <c r="I45" s="78" t="n"/>
      <c r="J45" s="78" t="n"/>
      <c r="K45" s="78" t="n"/>
      <c r="L45" s="11" t="n"/>
      <c r="M45" s="11" t="n"/>
      <c r="N45" s="78" t="n"/>
      <c r="O45" s="78" t="n"/>
      <c r="P45" s="17" t="n"/>
      <c r="Q45" s="17" t="n"/>
      <c r="R45" s="78" t="n"/>
      <c r="S45" s="11" t="n"/>
      <c r="T45" s="11" t="n"/>
      <c r="U45" s="16" t="n"/>
      <c r="V45" s="78" t="n"/>
      <c r="W45" s="78" t="n"/>
      <c r="X45" s="78" t="n"/>
      <c r="Y45" s="78" t="n"/>
      <c r="Z45" s="11" t="n"/>
      <c r="AA45" s="11" t="n"/>
      <c r="AB45" s="16" t="n"/>
      <c r="AC45" s="78" t="n"/>
      <c r="AD45" s="78" t="n"/>
      <c r="AE45" s="78" t="n"/>
      <c r="AF45" s="78" t="n"/>
      <c r="AG45" s="11" t="n"/>
      <c r="AH45" s="11" t="n"/>
      <c r="AI45" s="10" t="n"/>
      <c r="AJ45" s="78">
        <f>IF(COUNT(E45:AI45)=0,"",COUNT(E45:AI45))</f>
        <v/>
      </c>
      <c r="AK45" s="78">
        <f>IF(COUNT(E45:AI45)=0,"",SUM(E45:AI45))</f>
        <v/>
      </c>
    </row>
    <row r="46" ht="13.5" customHeight="1" thickBot="1">
      <c r="A46" s="78" t="n">
        <v>28</v>
      </c>
      <c r="B46" s="25" t="inlineStr">
        <is>
          <t xml:space="preserve">Назиров Валижон Махамадиевич </t>
        </is>
      </c>
      <c r="C46" s="20" t="inlineStr">
        <is>
          <t>Сварщик</t>
        </is>
      </c>
      <c r="D46" s="19" t="inlineStr">
        <is>
          <t xml:space="preserve">Ишлаб чиқариш бўлими </t>
        </is>
      </c>
      <c r="E46" s="11" t="n"/>
      <c r="F46" s="11" t="n"/>
      <c r="G46" s="78" t="n"/>
      <c r="H46" s="78" t="n"/>
      <c r="I46" s="78" t="n"/>
      <c r="J46" s="78" t="n"/>
      <c r="K46" s="78" t="n"/>
      <c r="L46" s="11" t="n"/>
      <c r="M46" s="11" t="n"/>
      <c r="N46" s="78" t="n"/>
      <c r="O46" s="78" t="n"/>
      <c r="P46" s="78" t="n"/>
      <c r="Q46" s="78" t="n"/>
      <c r="R46" s="78" t="n"/>
      <c r="S46" s="11" t="n"/>
      <c r="T46" s="11" t="n"/>
      <c r="U46" s="16" t="n"/>
      <c r="V46" s="78" t="n"/>
      <c r="W46" s="78" t="n"/>
      <c r="X46" s="78" t="n"/>
      <c r="Y46" s="78" t="n"/>
      <c r="Z46" s="11" t="n"/>
      <c r="AA46" s="11" t="n"/>
      <c r="AB46" s="16" t="n"/>
      <c r="AC46" s="78" t="n"/>
      <c r="AD46" s="78" t="n"/>
      <c r="AE46" s="78" t="n"/>
      <c r="AF46" s="78" t="n"/>
      <c r="AG46" s="11" t="n"/>
      <c r="AH46" s="11" t="n"/>
      <c r="AI46" s="10" t="n"/>
      <c r="AJ46" s="78">
        <f>IF(COUNT(E46:AI46)=0,"",COUNT(E46:AI46))</f>
        <v/>
      </c>
      <c r="AK46" s="78">
        <f>IF(COUNT(E46:AI46)=0,"",SUM(E46:AI46))</f>
        <v/>
      </c>
    </row>
    <row r="47" ht="13.5" customHeight="1" thickBot="1">
      <c r="A47" s="78" t="n">
        <v>29</v>
      </c>
      <c r="B47" s="25" t="inlineStr">
        <is>
          <t>Каримов Абрулло  Исматович</t>
        </is>
      </c>
      <c r="C47" s="20" t="inlineStr">
        <is>
          <t>Сварщик</t>
        </is>
      </c>
      <c r="D47" s="19" t="inlineStr">
        <is>
          <t xml:space="preserve">Ишлаб чиқариш бўлими </t>
        </is>
      </c>
      <c r="E47" s="11" t="n"/>
      <c r="F47" s="11" t="n"/>
      <c r="G47" s="78" t="n"/>
      <c r="H47" s="78" t="n"/>
      <c r="I47" s="78" t="n"/>
      <c r="J47" s="78" t="n"/>
      <c r="K47" s="78" t="n"/>
      <c r="L47" s="11" t="n"/>
      <c r="M47" s="11" t="n"/>
      <c r="N47" s="78" t="n"/>
      <c r="O47" s="78" t="n"/>
      <c r="P47" s="78" t="n"/>
      <c r="Q47" s="78" t="n"/>
      <c r="R47" s="78" t="n"/>
      <c r="S47" s="11" t="n"/>
      <c r="T47" s="11" t="n"/>
      <c r="U47" s="16" t="n"/>
      <c r="V47" s="78" t="n"/>
      <c r="W47" s="78" t="n"/>
      <c r="X47" s="78" t="n"/>
      <c r="Y47" s="78" t="n"/>
      <c r="Z47" s="11" t="n"/>
      <c r="AA47" s="11" t="n"/>
      <c r="AB47" s="16" t="n"/>
      <c r="AC47" s="78" t="n"/>
      <c r="AD47" s="78" t="n"/>
      <c r="AE47" s="78" t="n"/>
      <c r="AF47" s="78" t="n"/>
      <c r="AG47" s="11" t="n"/>
      <c r="AH47" s="11" t="n"/>
      <c r="AI47" s="10" t="n"/>
      <c r="AJ47" s="78">
        <f>IF(COUNT(E47:AI47)=0,"",COUNT(E47:AI47))</f>
        <v/>
      </c>
      <c r="AK47" s="78">
        <f>IF(COUNT(E47:AI47)=0,"",SUM(E47:AI47))</f>
        <v/>
      </c>
    </row>
    <row r="48" ht="14.25" customHeight="1" thickBot="1">
      <c r="A48" s="78" t="n">
        <v>30</v>
      </c>
      <c r="B48" s="25" t="inlineStr">
        <is>
          <t>Худойдотов Бахтиёр Сафарович</t>
        </is>
      </c>
      <c r="C48" s="20" t="inlineStr">
        <is>
          <t>Сварщик</t>
        </is>
      </c>
      <c r="D48" s="19" t="inlineStr">
        <is>
          <t xml:space="preserve">Ишлаб чиқариш бўлими </t>
        </is>
      </c>
      <c r="E48" s="11" t="n"/>
      <c r="F48" s="11" t="n"/>
      <c r="G48" s="78" t="n"/>
      <c r="H48" s="78" t="n"/>
      <c r="I48" s="78" t="n"/>
      <c r="J48" s="78" t="n"/>
      <c r="K48" s="78" t="n"/>
      <c r="L48" s="11" t="n"/>
      <c r="M48" s="11" t="n"/>
      <c r="N48" s="78" t="n"/>
      <c r="O48" s="78" t="n"/>
      <c r="P48" s="78" t="n"/>
      <c r="Q48" s="78" t="n"/>
      <c r="R48" s="78" t="n"/>
      <c r="S48" s="11" t="n"/>
      <c r="T48" s="11" t="n"/>
      <c r="U48" s="16" t="n"/>
      <c r="V48" s="78" t="n"/>
      <c r="W48" s="78" t="n"/>
      <c r="X48" s="78" t="n"/>
      <c r="Y48" s="78" t="n"/>
      <c r="Z48" s="11" t="n"/>
      <c r="AA48" s="11" t="n"/>
      <c r="AB48" s="16" t="n"/>
      <c r="AC48" s="78" t="n"/>
      <c r="AD48" s="78" t="n"/>
      <c r="AE48" s="78" t="n"/>
      <c r="AF48" s="78" t="n"/>
      <c r="AG48" s="11" t="n"/>
      <c r="AH48" s="11" t="n"/>
      <c r="AI48" s="10" t="n"/>
      <c r="AJ48" s="78">
        <f>IF(COUNT(E48:AI48)=0,"",COUNT(E48:AI48))</f>
        <v/>
      </c>
      <c r="AK48" s="78">
        <f>IF(COUNT(E48:AI48)=0,"",SUM(E48:AI48))</f>
        <v/>
      </c>
    </row>
    <row r="49" ht="15" customHeight="1" thickBot="1">
      <c r="A49" s="78" t="n">
        <v>31</v>
      </c>
      <c r="B49" s="25" t="inlineStr">
        <is>
          <t>Ахмедов Жахонгир Алишерович</t>
        </is>
      </c>
      <c r="C49" s="20" t="inlineStr">
        <is>
          <t>Сварщик</t>
        </is>
      </c>
      <c r="D49" s="19" t="inlineStr">
        <is>
          <t xml:space="preserve">Ишлаб чиқариш бўлими </t>
        </is>
      </c>
      <c r="E49" s="11" t="n"/>
      <c r="F49" s="11" t="n"/>
      <c r="G49" s="78" t="n"/>
      <c r="H49" s="78" t="n"/>
      <c r="I49" s="78" t="n"/>
      <c r="J49" s="78" t="n"/>
      <c r="K49" s="78" t="n"/>
      <c r="L49" s="11" t="n"/>
      <c r="M49" s="11" t="n"/>
      <c r="N49" s="78" t="n"/>
      <c r="O49" s="78" t="n"/>
      <c r="P49" s="78" t="n"/>
      <c r="Q49" s="78" t="n"/>
      <c r="R49" s="78" t="n"/>
      <c r="S49" s="11" t="n"/>
      <c r="T49" s="11" t="n"/>
      <c r="U49" s="16" t="n"/>
      <c r="V49" s="78" t="n"/>
      <c r="W49" s="78" t="n"/>
      <c r="X49" s="78" t="n"/>
      <c r="Y49" s="78" t="n"/>
      <c r="Z49" s="11" t="n"/>
      <c r="AA49" s="11" t="n"/>
      <c r="AB49" s="16" t="n"/>
      <c r="AC49" s="78" t="n"/>
      <c r="AD49" s="78" t="n"/>
      <c r="AE49" s="78" t="n"/>
      <c r="AF49" s="78" t="n"/>
      <c r="AG49" s="11" t="n"/>
      <c r="AH49" s="11" t="n"/>
      <c r="AI49" s="10" t="n"/>
      <c r="AJ49" s="78">
        <f>IF(COUNT(E49:AI49)=0,"",COUNT(E49:AI49))</f>
        <v/>
      </c>
      <c r="AK49" s="78">
        <f>IF(COUNT(E49:AI49)=0,"",SUM(E49:AI49))</f>
        <v/>
      </c>
    </row>
    <row r="50" ht="16.5" customHeight="1" thickBot="1">
      <c r="A50" s="78" t="n">
        <v>32</v>
      </c>
      <c r="B50" s="25" t="inlineStr">
        <is>
          <t>Ходжаев Курбонали Йулдошевич</t>
        </is>
      </c>
      <c r="C50" s="20" t="inlineStr">
        <is>
          <t>Бетончи</t>
        </is>
      </c>
      <c r="D50" s="19" t="inlineStr">
        <is>
          <t xml:space="preserve">Ишлаб чиқариш бўлими </t>
        </is>
      </c>
      <c r="E50" s="11" t="n"/>
      <c r="F50" s="11" t="n"/>
      <c r="G50" s="78" t="n"/>
      <c r="H50" s="16" t="n"/>
      <c r="I50" s="78" t="n"/>
      <c r="J50" s="78" t="n"/>
      <c r="K50" s="78" t="n"/>
      <c r="L50" s="11" t="n"/>
      <c r="M50" s="11" t="n"/>
      <c r="N50" s="78" t="n"/>
      <c r="O50" s="78" t="n"/>
      <c r="P50" s="16" t="n"/>
      <c r="Q50" s="16" t="n"/>
      <c r="R50" s="78" t="n"/>
      <c r="S50" s="11" t="n"/>
      <c r="T50" s="11" t="n"/>
      <c r="U50" s="16" t="n"/>
      <c r="V50" s="78" t="n"/>
      <c r="W50" s="16" t="n"/>
      <c r="X50" s="16" t="n"/>
      <c r="Y50" s="78" t="n"/>
      <c r="Z50" s="11" t="n"/>
      <c r="AA50" s="11" t="n"/>
      <c r="AB50" s="16" t="n"/>
      <c r="AC50" s="78" t="n"/>
      <c r="AD50" s="78" t="n"/>
      <c r="AE50" s="78" t="n"/>
      <c r="AF50" s="78" t="n"/>
      <c r="AG50" s="11" t="n"/>
      <c r="AH50" s="11" t="n"/>
      <c r="AI50" s="10" t="n"/>
      <c r="AJ50" s="78">
        <f>IF(COUNT(E50:AI50)=0,"",COUNT(E50:AI50))</f>
        <v/>
      </c>
      <c r="AK50" s="78">
        <f>IF(COUNT(E50:AI50)=0,"",SUM(E50:AI50))</f>
        <v/>
      </c>
    </row>
    <row r="51" ht="15.75" customHeight="1" thickBot="1">
      <c r="A51" s="78" t="n">
        <v>33</v>
      </c>
      <c r="B51" s="25" t="inlineStr">
        <is>
          <t>Кучкаров Эркин Хасанович</t>
        </is>
      </c>
      <c r="C51" s="20" t="inlineStr">
        <is>
          <t>Бетончи</t>
        </is>
      </c>
      <c r="D51" s="19" t="inlineStr">
        <is>
          <t xml:space="preserve">Ишлаб чиқариш бўлими </t>
        </is>
      </c>
      <c r="E51" s="11" t="n"/>
      <c r="F51" s="11" t="n"/>
      <c r="G51" s="78" t="n"/>
      <c r="H51" s="78" t="n"/>
      <c r="I51" s="78" t="n"/>
      <c r="J51" s="78" t="n"/>
      <c r="K51" s="78" t="n"/>
      <c r="L51" s="11" t="n"/>
      <c r="M51" s="11" t="n"/>
      <c r="N51" s="78" t="n"/>
      <c r="O51" s="11" t="n"/>
      <c r="P51" s="78" t="n"/>
      <c r="Q51" s="78" t="n"/>
      <c r="R51" s="78" t="n"/>
      <c r="S51" s="11" t="n"/>
      <c r="T51" s="11" t="n"/>
      <c r="U51" s="16" t="n"/>
      <c r="V51" s="78" t="n"/>
      <c r="W51" s="78" t="n"/>
      <c r="X51" s="78" t="n"/>
      <c r="Y51" s="78" t="n"/>
      <c r="Z51" s="11" t="n"/>
      <c r="AA51" s="11" t="n"/>
      <c r="AB51" s="16" t="n"/>
      <c r="AC51" s="78" t="n"/>
      <c r="AD51" s="78" t="n"/>
      <c r="AE51" s="78" t="n"/>
      <c r="AF51" s="78" t="n"/>
      <c r="AG51" s="11" t="n"/>
      <c r="AH51" s="11" t="n"/>
      <c r="AI51" s="10" t="n"/>
      <c r="AJ51" s="78">
        <f>IF(COUNT(E51:AI51)=0,"",COUNT(E51:AI51))</f>
        <v/>
      </c>
      <c r="AK51" s="78">
        <f>IF(COUNT(E51:AI51)=0,"",SUM(E51:AI51))</f>
        <v/>
      </c>
    </row>
    <row r="52" ht="15" customHeight="1" thickBot="1">
      <c r="A52" s="78" t="n">
        <v>34</v>
      </c>
      <c r="B52" s="25" t="inlineStr">
        <is>
          <t>Юсупов Холназар Базарович</t>
        </is>
      </c>
      <c r="C52" s="20" t="inlineStr">
        <is>
          <t>Бетончи</t>
        </is>
      </c>
      <c r="D52" s="19" t="inlineStr">
        <is>
          <t xml:space="preserve">Ишлаб чиқариш бўлими </t>
        </is>
      </c>
      <c r="E52" s="11" t="n"/>
      <c r="F52" s="11" t="n"/>
      <c r="G52" s="78" t="n"/>
      <c r="H52" s="78" t="n"/>
      <c r="I52" s="11" t="n"/>
      <c r="J52" s="78" t="n"/>
      <c r="K52" s="78" t="n"/>
      <c r="L52" s="11" t="n"/>
      <c r="M52" s="11" t="n"/>
      <c r="N52" s="78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0" t="n"/>
      <c r="AJ52" s="78">
        <f>IF(COUNT(E52:AI52)=0,"",COUNT(E52:AI52))</f>
        <v/>
      </c>
      <c r="AK52" s="78">
        <f>IF(COUNT(E52:AI52)=0,"",SUM(E52:AI52))</f>
        <v/>
      </c>
    </row>
    <row r="53" ht="15" customHeight="1" thickBot="1">
      <c r="A53" s="78" t="n">
        <v>35</v>
      </c>
      <c r="B53" s="24" t="inlineStr">
        <is>
          <t>Аминов Камолиддин Лутфиддинович</t>
        </is>
      </c>
      <c r="C53" s="23" t="inlineStr">
        <is>
          <t>Бетончи</t>
        </is>
      </c>
      <c r="D53" s="19" t="inlineStr">
        <is>
          <t xml:space="preserve">Ишлаб чиқариш бўлими </t>
        </is>
      </c>
      <c r="E53" s="11" t="n"/>
      <c r="F53" s="11" t="n"/>
      <c r="G53" s="78" t="n"/>
      <c r="H53" s="78" t="n"/>
      <c r="I53" s="78" t="n"/>
      <c r="J53" s="78" t="n"/>
      <c r="K53" s="78" t="n"/>
      <c r="L53" s="11" t="n"/>
      <c r="M53" s="11" t="n"/>
      <c r="N53" s="78" t="n"/>
      <c r="O53" s="11" t="n"/>
      <c r="P53" s="16" t="n"/>
      <c r="Q53" s="16" t="n"/>
      <c r="R53" s="78" t="n"/>
      <c r="S53" s="11" t="n"/>
      <c r="T53" s="11" t="n"/>
      <c r="U53" s="16" t="n"/>
      <c r="V53" s="78" t="n"/>
      <c r="W53" s="78" t="n"/>
      <c r="X53" s="78" t="n"/>
      <c r="Y53" s="78" t="n"/>
      <c r="Z53" s="11" t="n"/>
      <c r="AA53" s="11" t="n"/>
      <c r="AB53" s="16" t="n"/>
      <c r="AC53" s="78" t="n"/>
      <c r="AD53" s="78" t="n"/>
      <c r="AE53" s="78" t="n"/>
      <c r="AF53" s="78" t="n"/>
      <c r="AG53" s="11" t="n"/>
      <c r="AH53" s="11" t="n"/>
      <c r="AI53" s="10" t="n"/>
      <c r="AJ53" s="78">
        <f>IF(COUNT(E53:AI53)=0,"",COUNT(E53:AI53))</f>
        <v/>
      </c>
      <c r="AK53" s="78">
        <f>IF(COUNT(E53:AI53)=0,"",SUM(E53:AI53))</f>
        <v/>
      </c>
    </row>
    <row r="54" ht="14.25" customHeight="1" thickBot="1">
      <c r="A54" s="78" t="n">
        <v>36</v>
      </c>
      <c r="B54" s="21" t="inlineStr">
        <is>
          <t>Фармонов  Шерзод Нурманович</t>
        </is>
      </c>
      <c r="C54" s="23" t="inlineStr">
        <is>
          <t>Бетончи</t>
        </is>
      </c>
      <c r="D54" s="19" t="inlineStr">
        <is>
          <t xml:space="preserve">Ишлаб чиқариш бўлими </t>
        </is>
      </c>
      <c r="E54" s="11" t="n"/>
      <c r="F54" s="11" t="n"/>
      <c r="G54" s="78" t="n"/>
      <c r="H54" s="16" t="n"/>
      <c r="I54" s="78" t="n"/>
      <c r="J54" s="78" t="n"/>
      <c r="K54" s="78" t="n"/>
      <c r="L54" s="11" t="n"/>
      <c r="M54" s="11" t="n"/>
      <c r="N54" s="78" t="n"/>
      <c r="O54" s="78" t="n"/>
      <c r="P54" s="78" t="n"/>
      <c r="Q54" s="78" t="n"/>
      <c r="R54" s="78" t="n"/>
      <c r="S54" s="11" t="n"/>
      <c r="T54" s="11" t="n"/>
      <c r="U54" s="16" t="n"/>
      <c r="V54" s="78" t="n"/>
      <c r="W54" s="16" t="n"/>
      <c r="X54" s="16" t="n"/>
      <c r="Y54" s="78" t="n"/>
      <c r="Z54" s="11" t="n"/>
      <c r="AA54" s="11" t="n"/>
      <c r="AB54" s="16" t="n"/>
      <c r="AC54" s="78" t="n"/>
      <c r="AD54" s="78" t="n"/>
      <c r="AE54" s="78" t="n"/>
      <c r="AF54" s="11" t="n"/>
      <c r="AG54" s="11" t="n"/>
      <c r="AH54" s="11" t="n"/>
      <c r="AI54" s="10" t="n"/>
      <c r="AJ54" s="78">
        <f>IF(COUNT(E54:AI54)=0,"",COUNT(E54:AI54))</f>
        <v/>
      </c>
      <c r="AK54" s="78">
        <f>IF(COUNT(E54:AI54)=0,"",SUM(E54:AI54))</f>
        <v/>
      </c>
    </row>
    <row r="55" ht="15" customHeight="1" thickBot="1">
      <c r="A55" s="78" t="n">
        <v>37</v>
      </c>
      <c r="B55" s="21" t="inlineStr">
        <is>
          <t xml:space="preserve">Насриддинов Химматилло Нусратуллаевич </t>
        </is>
      </c>
      <c r="C55" s="23" t="inlineStr">
        <is>
          <t>Бетончи</t>
        </is>
      </c>
      <c r="D55" s="19" t="inlineStr">
        <is>
          <t>Ишлаб чиқариш бўлими №1</t>
        </is>
      </c>
      <c r="E55" s="11" t="n"/>
      <c r="F55" s="11" t="n"/>
      <c r="G55" s="78" t="n"/>
      <c r="H55" s="78" t="n"/>
      <c r="I55" s="78" t="n"/>
      <c r="J55" s="78" t="n"/>
      <c r="K55" s="78" t="n"/>
      <c r="L55" s="11" t="n"/>
      <c r="M55" s="11" t="n"/>
      <c r="N55" s="78" t="n"/>
      <c r="O55" s="78" t="n"/>
      <c r="P55" s="16" t="n"/>
      <c r="Q55" s="16" t="n"/>
      <c r="R55" s="78" t="n"/>
      <c r="S55" s="11" t="n"/>
      <c r="T55" s="11" t="n"/>
      <c r="U55" s="16" t="n"/>
      <c r="V55" s="78" t="n"/>
      <c r="W55" s="78" t="n"/>
      <c r="X55" s="78" t="n"/>
      <c r="Y55" s="78" t="n"/>
      <c r="Z55" s="11" t="n"/>
      <c r="AA55" s="11" t="n"/>
      <c r="AB55" s="16" t="n"/>
      <c r="AC55" s="78" t="n"/>
      <c r="AD55" s="78" t="n"/>
      <c r="AE55" s="78" t="n"/>
      <c r="AF55" s="78" t="n"/>
      <c r="AG55" s="11" t="n"/>
      <c r="AH55" s="11" t="n"/>
      <c r="AI55" s="10" t="n"/>
      <c r="AJ55" s="78">
        <f>IF(COUNT(E55:AI55)=0,"",COUNT(E55:AI55))</f>
        <v/>
      </c>
      <c r="AK55" s="78">
        <f>IF(COUNT(E55:AI55)=0,"",SUM(E55:AI55))</f>
        <v/>
      </c>
    </row>
    <row r="56" ht="15.75" customHeight="1" thickBot="1">
      <c r="A56" s="78" t="n">
        <v>38</v>
      </c>
      <c r="B56" s="21" t="inlineStr">
        <is>
          <t>Шодиев Саид Чориевич</t>
        </is>
      </c>
      <c r="C56" s="22" t="inlineStr">
        <is>
          <t>Бетончи</t>
        </is>
      </c>
      <c r="D56" s="19" t="inlineStr">
        <is>
          <t xml:space="preserve">Ишлаб чиқариш бўлими </t>
        </is>
      </c>
      <c r="E56" s="11" t="n"/>
      <c r="F56" s="11" t="n"/>
      <c r="G56" s="78" t="n"/>
      <c r="H56" s="78" t="n"/>
      <c r="I56" s="78" t="n"/>
      <c r="J56" s="18" t="n"/>
      <c r="K56" s="78" t="n"/>
      <c r="L56" s="11" t="n"/>
      <c r="M56" s="11" t="n"/>
      <c r="N56" s="78" t="n"/>
      <c r="O56" s="78" t="n"/>
      <c r="P56" s="17" t="n"/>
      <c r="Q56" s="17" t="n"/>
      <c r="R56" s="78" t="n"/>
      <c r="S56" s="11" t="n"/>
      <c r="T56" s="11" t="n"/>
      <c r="U56" s="16" t="n"/>
      <c r="V56" s="78" t="n"/>
      <c r="W56" s="16" t="n"/>
      <c r="X56" s="16" t="n"/>
      <c r="Y56" s="78" t="n"/>
      <c r="Z56" s="11" t="n"/>
      <c r="AA56" s="11" t="n"/>
      <c r="AB56" s="16" t="n"/>
      <c r="AC56" s="78" t="n"/>
      <c r="AD56" s="78" t="n"/>
      <c r="AE56" s="78" t="n"/>
      <c r="AF56" s="78" t="n"/>
      <c r="AG56" s="11" t="n"/>
      <c r="AH56" s="11" t="n"/>
      <c r="AI56" s="10" t="n"/>
      <c r="AJ56" s="78">
        <f>IF(COUNT(E56:AI56)=0,"",COUNT(E56:AI56))</f>
        <v/>
      </c>
      <c r="AK56" s="78">
        <f>IF(COUNT(E56:AI56)=0,"",SUM(E56:AI56))</f>
        <v/>
      </c>
    </row>
    <row r="57" ht="16.5" customHeight="1" thickBot="1">
      <c r="A57" s="78" t="n">
        <v>39</v>
      </c>
      <c r="B57" s="21" t="inlineStr">
        <is>
          <t>Шодиев Охунжон Саид ўғли</t>
        </is>
      </c>
      <c r="C57" s="20" t="inlineStr">
        <is>
          <t>Бетончи</t>
        </is>
      </c>
      <c r="D57" s="19" t="inlineStr">
        <is>
          <t xml:space="preserve">Ишлаб чиқариш бўлими </t>
        </is>
      </c>
      <c r="E57" s="11" t="n"/>
      <c r="F57" s="11" t="n"/>
      <c r="G57" s="78" t="n"/>
      <c r="H57" s="78" t="n"/>
      <c r="I57" s="78" t="n"/>
      <c r="J57" s="18" t="n"/>
      <c r="K57" s="78" t="n"/>
      <c r="L57" s="11" t="n"/>
      <c r="M57" s="11" t="n"/>
      <c r="N57" s="78" t="n"/>
      <c r="O57" s="78" t="n"/>
      <c r="P57" s="17" t="n"/>
      <c r="Q57" s="17" t="n"/>
      <c r="R57" s="78" t="n"/>
      <c r="S57" s="11" t="n"/>
      <c r="T57" s="11" t="n"/>
      <c r="U57" s="16" t="n"/>
      <c r="V57" s="78" t="n"/>
      <c r="W57" s="78" t="n"/>
      <c r="X57" s="78" t="n"/>
      <c r="Y57" s="78" t="n"/>
      <c r="Z57" s="11" t="n"/>
      <c r="AA57" s="11" t="n"/>
      <c r="AB57" s="16" t="n"/>
      <c r="AC57" s="78" t="n"/>
      <c r="AD57" s="78" t="n"/>
      <c r="AE57" s="78" t="n"/>
      <c r="AF57" s="78" t="n"/>
      <c r="AG57" s="11" t="n"/>
      <c r="AH57" s="11" t="n"/>
      <c r="AI57" s="10" t="n"/>
      <c r="AJ57" s="78">
        <f>IF(COUNT(E57:AI57)=0,"",COUNT(E57:AI57))</f>
        <v/>
      </c>
      <c r="AK57" s="78">
        <f>IF(COUNT(E57:AI57)=0,"",SUM(E57:AI57))</f>
        <v/>
      </c>
    </row>
    <row r="58">
      <c r="A58" s="15" t="n"/>
      <c r="B58" s="14" t="n"/>
      <c r="C58" s="13" t="n"/>
      <c r="D58" s="9" t="n"/>
      <c r="E58" s="10" t="n"/>
      <c r="F58" s="11" t="n"/>
      <c r="G58" s="11" t="n"/>
      <c r="H58" s="9" t="n"/>
      <c r="I58" s="9" t="n"/>
      <c r="J58" s="2" t="n"/>
      <c r="K58" s="9" t="n"/>
      <c r="L58" s="10" t="n"/>
      <c r="M58" s="11" t="n"/>
      <c r="N58" s="11" t="n"/>
      <c r="O58" s="78" t="n"/>
      <c r="P58" s="9" t="n"/>
      <c r="Q58" s="9" t="n"/>
      <c r="R58" s="9" t="n"/>
      <c r="S58" s="10" t="n"/>
      <c r="T58" s="11" t="n"/>
      <c r="U58" s="11" t="n"/>
      <c r="V58" s="9" t="n"/>
      <c r="W58" s="9" t="n"/>
      <c r="X58" s="9" t="n"/>
      <c r="Y58" s="9" t="n"/>
      <c r="Z58" s="10" t="n"/>
      <c r="AA58" s="11" t="n"/>
      <c r="AB58" s="11" t="n"/>
      <c r="AC58" s="9" t="n"/>
      <c r="AD58" s="9" t="n"/>
      <c r="AE58" s="9" t="n"/>
      <c r="AF58" s="9" t="n"/>
      <c r="AG58" s="10" t="n"/>
      <c r="AH58" s="10" t="n"/>
      <c r="AI58" s="10" t="n"/>
      <c r="AJ58" s="9" t="n"/>
      <c r="AK58" s="9" t="n"/>
    </row>
    <row r="59">
      <c r="A59" s="7" t="n"/>
      <c r="B59" s="2" t="n"/>
      <c r="C59" s="5" t="n"/>
      <c r="D59" s="5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8" t="n"/>
      <c r="AK59" s="8" t="n"/>
    </row>
    <row r="60">
      <c r="A60" s="7" t="n"/>
      <c r="B60" s="2" t="n"/>
      <c r="C60" s="5" t="n"/>
      <c r="D60" s="5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</row>
    <row r="61" ht="21.75" customHeight="1" thickBot="1">
      <c r="A61" s="79" t="inlineStr">
        <is>
          <t>Mas'ul shaxs</t>
        </is>
      </c>
      <c r="C61" s="5" t="n"/>
      <c r="D61" s="5" t="n"/>
      <c r="E61" s="80" t="n"/>
      <c r="F61" s="111" t="n"/>
      <c r="G61" s="111" t="n"/>
      <c r="H61" s="111" t="n"/>
      <c r="I61" s="111" t="n"/>
      <c r="J61" s="2" t="n"/>
      <c r="K61" s="2" t="n"/>
      <c r="L61" s="80" t="n"/>
      <c r="M61" s="111" t="n"/>
      <c r="N61" s="111" t="n"/>
      <c r="O61" s="111" t="n"/>
      <c r="P61" s="111" t="n"/>
      <c r="Q61" s="111" t="n"/>
      <c r="R61" s="111" t="n"/>
      <c r="S61" s="111" t="n"/>
      <c r="T61" s="111" t="n"/>
      <c r="U61" s="111" t="n"/>
      <c r="V61" s="111" t="n"/>
      <c r="W61" s="2" t="n"/>
      <c r="X61" s="81" t="inlineStr">
        <is>
          <t>" _______ " ____________ 20 _____y.</t>
        </is>
      </c>
      <c r="AF61" s="2" t="n"/>
      <c r="AG61" s="2" t="n"/>
      <c r="AH61" s="2" t="n"/>
      <c r="AI61" s="2" t="n"/>
      <c r="AJ61" s="2" t="n"/>
      <c r="AK61" s="2" t="n"/>
    </row>
    <row r="62">
      <c r="C62" s="82" t="inlineStr">
        <is>
          <t>lavozim</t>
        </is>
      </c>
      <c r="E62" s="82" t="inlineStr">
        <is>
          <t>shaxsiy imzo</t>
        </is>
      </c>
      <c r="F62" s="86" t="n"/>
      <c r="G62" s="86" t="n"/>
      <c r="H62" s="86" t="n"/>
      <c r="I62" s="86" t="n"/>
      <c r="J62" s="44" t="n"/>
      <c r="K62" s="2" t="n"/>
      <c r="L62" s="82" t="inlineStr">
        <is>
          <t>Imzo kengaytmasi</t>
        </is>
      </c>
      <c r="M62" s="86" t="n"/>
      <c r="N62" s="86" t="n"/>
      <c r="O62" s="86" t="n"/>
      <c r="P62" s="86" t="n"/>
      <c r="Q62" s="86" t="n"/>
      <c r="R62" s="86" t="n"/>
      <c r="S62" s="86" t="n"/>
      <c r="T62" s="86" t="n"/>
      <c r="U62" s="86" t="n"/>
      <c r="V62" s="86" t="n"/>
      <c r="W62" s="2" t="n"/>
      <c r="X62" s="81" t="n"/>
      <c r="Y62" s="81" t="n"/>
      <c r="Z62" s="81" t="n"/>
      <c r="AA62" s="81" t="n"/>
      <c r="AB62" s="81" t="n"/>
      <c r="AC62" s="81" t="n"/>
      <c r="AD62" s="81" t="n"/>
      <c r="AE62" s="81" t="n"/>
      <c r="AF62" s="2" t="n"/>
      <c r="AG62" s="2" t="n"/>
      <c r="AH62" s="2" t="n"/>
      <c r="AI62" s="2" t="n"/>
      <c r="AJ62" s="2" t="n"/>
      <c r="AK62" s="2" t="n"/>
    </row>
    <row r="63">
      <c r="A63" s="2" t="n"/>
      <c r="B63" s="2" t="n"/>
      <c r="C63" s="5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2" t="n"/>
      <c r="AG63" s="2" t="n"/>
      <c r="AH63" s="2" t="n"/>
      <c r="AI63" s="2" t="n"/>
      <c r="AJ63" s="2" t="n"/>
      <c r="AK63" s="2" t="n"/>
    </row>
    <row r="64" ht="27" customHeight="1" thickBot="1">
      <c r="A64" s="83" t="inlineStr">
        <is>
          <t>Kadrlar xizmati xodimi</t>
        </is>
      </c>
      <c r="C64" s="5" t="n"/>
      <c r="D64" s="2" t="n"/>
      <c r="E64" s="80" t="n"/>
      <c r="F64" s="111" t="n"/>
      <c r="G64" s="111" t="n"/>
      <c r="H64" s="111" t="n"/>
      <c r="I64" s="111" t="n"/>
      <c r="J64" s="2" t="n"/>
      <c r="K64" s="2" t="n"/>
      <c r="L64" s="80" t="n"/>
      <c r="M64" s="111" t="n"/>
      <c r="N64" s="111" t="n"/>
      <c r="O64" s="111" t="n"/>
      <c r="P64" s="111" t="n"/>
      <c r="Q64" s="111" t="n"/>
      <c r="R64" s="111" t="n"/>
      <c r="S64" s="111" t="n"/>
      <c r="T64" s="111" t="n"/>
      <c r="U64" s="111" t="n"/>
      <c r="V64" s="111" t="n"/>
      <c r="W64" s="2" t="n"/>
      <c r="X64" s="81" t="inlineStr">
        <is>
          <t>" _______" ____________ 20 _____ y.</t>
        </is>
      </c>
      <c r="AF64" s="2" t="n"/>
      <c r="AG64" s="2" t="n"/>
      <c r="AH64" s="2" t="n"/>
      <c r="AI64" s="2" t="n"/>
      <c r="AJ64" s="2" t="n"/>
      <c r="AK64" s="2" t="n"/>
    </row>
    <row r="65">
      <c r="C65" s="82" t="inlineStr">
        <is>
          <t>lavozim</t>
        </is>
      </c>
      <c r="D65" s="2" t="n"/>
      <c r="E65" s="82" t="inlineStr">
        <is>
          <t>shaxsiy imzo</t>
        </is>
      </c>
      <c r="F65" s="86" t="n"/>
      <c r="G65" s="86" t="n"/>
      <c r="H65" s="86" t="n"/>
      <c r="I65" s="86" t="n"/>
      <c r="J65" s="44" t="n"/>
      <c r="K65" s="2" t="n"/>
      <c r="L65" s="82" t="inlineStr">
        <is>
          <t>Imzo kengaytmasi</t>
        </is>
      </c>
      <c r="M65" s="86" t="n"/>
      <c r="N65" s="86" t="n"/>
      <c r="O65" s="86" t="n"/>
      <c r="P65" s="86" t="n"/>
      <c r="Q65" s="86" t="n"/>
      <c r="R65" s="86" t="n"/>
      <c r="S65" s="86" t="n"/>
      <c r="T65" s="86" t="n"/>
      <c r="U65" s="86" t="n"/>
      <c r="V65" s="86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</row>
  </sheetData>
  <mergeCells count="72">
    <mergeCell ref="C14:C17"/>
    <mergeCell ref="AD3:AK3"/>
    <mergeCell ref="X15:X17"/>
    <mergeCell ref="Q12:U12"/>
    <mergeCell ref="M15:M17"/>
    <mergeCell ref="E62:I62"/>
    <mergeCell ref="Q15:Q17"/>
    <mergeCell ref="AH15:AH17"/>
    <mergeCell ref="L65:V65"/>
    <mergeCell ref="S15:S17"/>
    <mergeCell ref="AJ15:AJ17"/>
    <mergeCell ref="A9:AF9"/>
    <mergeCell ref="AJ14:AK14"/>
    <mergeCell ref="AE15:AE17"/>
    <mergeCell ref="A8:AK8"/>
    <mergeCell ref="AF12:AH12"/>
    <mergeCell ref="AG15:AG17"/>
    <mergeCell ref="X61:AE61"/>
    <mergeCell ref="E64:I64"/>
    <mergeCell ref="I13:R13"/>
    <mergeCell ref="AE5:AK5"/>
    <mergeCell ref="B14:B17"/>
    <mergeCell ref="AC10:AH10"/>
    <mergeCell ref="AF11:AH11"/>
    <mergeCell ref="AD4:AJ4"/>
    <mergeCell ref="H15:H17"/>
    <mergeCell ref="N15:N17"/>
    <mergeCell ref="P15:P17"/>
    <mergeCell ref="AD1:AK1"/>
    <mergeCell ref="L62:V62"/>
    <mergeCell ref="T15:T17"/>
    <mergeCell ref="I15:I17"/>
    <mergeCell ref="Z15:Z17"/>
    <mergeCell ref="AB15:AB17"/>
    <mergeCell ref="K15:K17"/>
    <mergeCell ref="E18:AI18"/>
    <mergeCell ref="A7:AF7"/>
    <mergeCell ref="E65:I65"/>
    <mergeCell ref="AC12:AE12"/>
    <mergeCell ref="AC11:AE11"/>
    <mergeCell ref="L64:V64"/>
    <mergeCell ref="Y15:Y17"/>
    <mergeCell ref="A64:B65"/>
    <mergeCell ref="V10:AA11"/>
    <mergeCell ref="X64:AE64"/>
    <mergeCell ref="AD2:AK2"/>
    <mergeCell ref="L12:O12"/>
    <mergeCell ref="U15:U17"/>
    <mergeCell ref="O15:O17"/>
    <mergeCell ref="W15:W17"/>
    <mergeCell ref="A14:A17"/>
    <mergeCell ref="E14:AI14"/>
    <mergeCell ref="F15:F17"/>
    <mergeCell ref="AI15:AI17"/>
    <mergeCell ref="V12:AA12"/>
    <mergeCell ref="AA15:AA17"/>
    <mergeCell ref="E61:I61"/>
    <mergeCell ref="AK15:AK17"/>
    <mergeCell ref="AC15:AC17"/>
    <mergeCell ref="A61:B62"/>
    <mergeCell ref="A6:AK6"/>
    <mergeCell ref="D14:D17"/>
    <mergeCell ref="J15:J17"/>
    <mergeCell ref="L15:L17"/>
    <mergeCell ref="R15:R17"/>
    <mergeCell ref="V15:V17"/>
    <mergeCell ref="E15:E17"/>
    <mergeCell ref="G15:G17"/>
    <mergeCell ref="AD15:AD17"/>
    <mergeCell ref="Q10:U11"/>
    <mergeCell ref="AF15:AF17"/>
    <mergeCell ref="L61:V61"/>
  </mergeCells>
  <printOptions horizontalCentered="1"/>
  <pageMargins left="0.25" right="0.25" top="0.4" bottom="0.4" header="0.2" footer="0.2"/>
  <pageSetup orientation="landscape" paperSize="9" scale="40" fitToHeight="1" fitToWidth="1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K65"/>
  <sheetViews>
    <sheetView workbookViewId="0">
      <selection activeCell="A1" sqref="A1"/>
    </sheetView>
  </sheetViews>
  <sheetFormatPr baseColWidth="8" defaultRowHeight="15"/>
  <cols>
    <col width="4.85546875" customWidth="1" style="1" min="1" max="1"/>
    <col width="37.85546875" customWidth="1" style="1" min="2" max="2"/>
    <col width="22.140625" customWidth="1" style="1" min="3" max="3"/>
    <col width="31.7109375" customWidth="1" style="1" min="4" max="4"/>
    <col width="3.42578125" customWidth="1" style="1" min="5" max="5"/>
    <col width="3.5703125" customWidth="1" style="1" min="6" max="6"/>
    <col width="3" customWidth="1" style="1" min="7" max="7"/>
    <col width="2.7109375" customWidth="1" style="1" min="8" max="8"/>
    <col width="3.5703125" customWidth="1" style="1" min="9" max="11"/>
    <col width="3.140625" customWidth="1" style="1" min="12" max="13"/>
    <col width="2.7109375" bestFit="1" customWidth="1" style="1" min="14" max="14"/>
    <col width="3.42578125" customWidth="1" style="1" min="15" max="15"/>
    <col width="2.85546875" customWidth="1" style="1" min="16" max="16"/>
    <col width="3.140625" customWidth="1" style="1" min="17" max="17"/>
    <col width="3.28515625" customWidth="1" style="1" min="18" max="18"/>
    <col width="3.7109375" customWidth="1" style="1" min="19" max="19"/>
    <col width="3.28515625" customWidth="1" style="1" min="20" max="20"/>
    <col width="2.7109375" bestFit="1" customWidth="1" style="1" min="21" max="21"/>
    <col width="3.28515625" customWidth="1" style="1" min="22" max="22"/>
    <col width="3.5703125" customWidth="1" style="1" min="23" max="23"/>
    <col width="2.7109375" bestFit="1" customWidth="1" style="1" min="24" max="24"/>
    <col width="3" customWidth="1" style="1" min="25" max="25"/>
    <col width="4" customWidth="1" style="1" min="26" max="26"/>
    <col width="3.85546875" customWidth="1" style="1" min="27" max="27"/>
    <col width="3.5703125" customWidth="1" style="1" min="28" max="28"/>
    <col width="2.7109375" bestFit="1" customWidth="1" style="1" min="29" max="29"/>
    <col width="3.42578125" customWidth="1" style="1" min="30" max="30"/>
    <col width="3.28515625" customWidth="1" style="1" min="31" max="31"/>
    <col width="3.7109375" customWidth="1" style="1" min="32" max="33"/>
    <col width="4.28515625" customWidth="1" style="1" min="34" max="34"/>
    <col width="4" customWidth="1" style="1" min="35" max="35"/>
    <col width="9.140625" customWidth="1" style="1" min="36" max="16384"/>
  </cols>
  <sheetData>
    <row r="1">
      <c r="A1" s="1" t="n"/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34" t="n"/>
      <c r="AD1" s="39" t="inlineStr">
        <is>
          <t>“TASLIQLAYMAN”</t>
        </is>
      </c>
    </row>
    <row r="2">
      <c r="A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40" t="inlineStr">
        <is>
          <t>"ELEKTROQURILISHMAXSULOT" MCHJ</t>
        </is>
      </c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40" t="inlineStr">
        <is>
          <t>______________      F,MAXMUDOV</t>
        </is>
      </c>
    </row>
    <row r="4">
      <c r="A4" s="34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41" t="inlineStr">
        <is>
          <t>"_______"___________2026 yil</t>
        </is>
      </c>
      <c r="AK4" s="34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42" t="n"/>
    </row>
    <row r="6" ht="16.5" customHeight="1" thickBot="1">
      <c r="A6" s="38" t="inlineStr">
        <is>
          <t>"ELEKTROQURILISHMAXSULOT" АЖ</t>
        </is>
      </c>
      <c r="B6" s="84" t="n"/>
      <c r="C6" s="84" t="n"/>
      <c r="D6" s="84" t="n"/>
      <c r="E6" s="84" t="n"/>
      <c r="F6" s="84" t="n"/>
      <c r="G6" s="84" t="n"/>
      <c r="H6" s="84" t="n"/>
      <c r="I6" s="84" t="n"/>
      <c r="J6" s="84" t="n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  <c r="AA6" s="84" t="n"/>
      <c r="AB6" s="84" t="n"/>
      <c r="AC6" s="84" t="n"/>
      <c r="AD6" s="84" t="n"/>
      <c r="AE6" s="84" t="n"/>
      <c r="AF6" s="84" t="n"/>
      <c r="AG6" s="84" t="n"/>
      <c r="AH6" s="84" t="n"/>
      <c r="AI6" s="84" t="n"/>
      <c r="AJ6" s="84" t="n"/>
      <c r="AK6" s="84" t="n"/>
    </row>
    <row r="7">
      <c r="A7" s="44" t="inlineStr">
        <is>
          <t xml:space="preserve">                                                                kompaniya nomi</t>
        </is>
      </c>
      <c r="AG7" s="33" t="n"/>
      <c r="AH7" s="33" t="n"/>
      <c r="AI7" s="33" t="n"/>
      <c r="AJ7" s="32" t="n"/>
      <c r="AK7" s="32" t="n"/>
    </row>
    <row r="8" ht="15.75" customHeight="1" thickBot="1">
      <c r="A8" s="45" t="n"/>
      <c r="B8" s="84" t="n"/>
      <c r="C8" s="84" t="n"/>
      <c r="D8" s="84" t="n"/>
      <c r="E8" s="84" t="n"/>
      <c r="F8" s="84" t="n"/>
      <c r="G8" s="84" t="n"/>
      <c r="H8" s="84" t="n"/>
      <c r="I8" s="84" t="n"/>
      <c r="J8" s="84" t="n"/>
      <c r="K8" s="84" t="n"/>
      <c r="L8" s="84" t="n"/>
      <c r="M8" s="84" t="n"/>
      <c r="N8" s="84" t="n"/>
      <c r="O8" s="84" t="n"/>
      <c r="P8" s="84" t="n"/>
      <c r="Q8" s="84" t="n"/>
      <c r="R8" s="84" t="n"/>
      <c r="S8" s="84" t="n"/>
      <c r="T8" s="84" t="n"/>
      <c r="U8" s="84" t="n"/>
      <c r="V8" s="84" t="n"/>
      <c r="W8" s="84" t="n"/>
      <c r="X8" s="84" t="n"/>
      <c r="Y8" s="84" t="n"/>
      <c r="Z8" s="84" t="n"/>
      <c r="AA8" s="84" t="n"/>
      <c r="AB8" s="84" t="n"/>
      <c r="AC8" s="84" t="n"/>
      <c r="AD8" s="84" t="n"/>
      <c r="AE8" s="84" t="n"/>
      <c r="AF8" s="84" t="n"/>
      <c r="AG8" s="84" t="n"/>
      <c r="AH8" s="84" t="n"/>
      <c r="AI8" s="84" t="n"/>
      <c r="AJ8" s="84" t="n"/>
      <c r="AK8" s="84" t="n"/>
    </row>
    <row r="9" ht="15.75" customHeight="1" thickBot="1">
      <c r="A9" s="44" t="inlineStr">
        <is>
          <t xml:space="preserve">                                                           tarkibiy bo'linma</t>
        </is>
      </c>
      <c r="AG9" s="2" t="n"/>
      <c r="AH9" s="2" t="n"/>
      <c r="AI9" s="2" t="n"/>
      <c r="AJ9" s="2" t="n"/>
      <c r="AK9" s="2" t="n"/>
    </row>
    <row r="10" ht="15.75" customHeight="1" thickBo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85" t="inlineStr">
        <is>
          <t>Hujjat raqami</t>
        </is>
      </c>
      <c r="R10" s="86" t="n"/>
      <c r="S10" s="86" t="n"/>
      <c r="T10" s="86" t="n"/>
      <c r="U10" s="87" t="n"/>
      <c r="V10" s="85" t="inlineStr">
        <is>
          <t>Tuzilish sanasi</t>
        </is>
      </c>
      <c r="W10" s="86" t="n"/>
      <c r="X10" s="86" t="n"/>
      <c r="Y10" s="86" t="n"/>
      <c r="Z10" s="86" t="n"/>
      <c r="AA10" s="87" t="n"/>
      <c r="AB10" s="31" t="n"/>
      <c r="AC10" s="88" t="inlineStr">
        <is>
          <t>Hisobot davri</t>
        </is>
      </c>
      <c r="AD10" s="89" t="n"/>
      <c r="AE10" s="89" t="n"/>
      <c r="AF10" s="89" t="n"/>
      <c r="AG10" s="89" t="n"/>
      <c r="AH10" s="90" t="n"/>
      <c r="AI10" s="2" t="n"/>
      <c r="AJ10" s="2" t="n"/>
      <c r="AK10" s="2" t="n"/>
    </row>
    <row r="11" ht="15.75" customHeight="1" thickBo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91" t="n"/>
      <c r="R11" s="92" t="n"/>
      <c r="S11" s="92" t="n"/>
      <c r="T11" s="92" t="n"/>
      <c r="U11" s="93" t="n"/>
      <c r="V11" s="91" t="n"/>
      <c r="W11" s="92" t="n"/>
      <c r="X11" s="92" t="n"/>
      <c r="Y11" s="92" t="n"/>
      <c r="Z11" s="92" t="n"/>
      <c r="AA11" s="93" t="n"/>
      <c r="AB11" s="31" t="n"/>
      <c r="AC11" s="85" t="inlineStr">
        <is>
          <t>dan</t>
        </is>
      </c>
      <c r="AD11" s="94" t="n"/>
      <c r="AE11" s="95" t="n"/>
      <c r="AF11" s="85" t="inlineStr">
        <is>
          <t>bo'yicha</t>
        </is>
      </c>
      <c r="AG11" s="94" t="n"/>
      <c r="AH11" s="95" t="n"/>
      <c r="AI11" s="2" t="n"/>
      <c r="AJ11" s="2" t="n"/>
      <c r="AK11" s="2" t="n"/>
    </row>
    <row r="12" ht="17.25" customHeight="1" thickBot="1" thickTop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58" t="inlineStr">
        <is>
          <t>TABEL</t>
        </is>
      </c>
      <c r="P12" s="2" t="n"/>
      <c r="Q12" s="96" t="inlineStr">
        <is>
          <t>_________</t>
        </is>
      </c>
      <c r="R12" s="97" t="n"/>
      <c r="S12" s="97" t="n"/>
      <c r="T12" s="97" t="n"/>
      <c r="U12" s="98" t="n"/>
      <c r="V12" s="99" t="inlineStr">
        <is>
          <t>01.12-31.12.2026</t>
        </is>
      </c>
      <c r="W12" s="97" t="n"/>
      <c r="X12" s="97" t="n"/>
      <c r="Y12" s="97" t="n"/>
      <c r="Z12" s="97" t="n"/>
      <c r="AA12" s="98" t="n"/>
      <c r="AB12" s="31" t="n"/>
      <c r="AC12" s="99" t="inlineStr">
        <is>
          <t>01.12.2026</t>
        </is>
      </c>
      <c r="AD12" s="97" t="n"/>
      <c r="AE12" s="98" t="n"/>
      <c r="AF12" s="99" t="inlineStr">
        <is>
          <t>31.12.2026</t>
        </is>
      </c>
      <c r="AG12" s="97" t="n"/>
      <c r="AH12" s="98" t="n"/>
      <c r="AI12" s="2" t="n"/>
      <c r="AJ12" s="2" t="n"/>
      <c r="AK12" s="2" t="n"/>
    </row>
    <row r="13" ht="17.25" customHeight="1" thickBot="1" thickTop="1">
      <c r="A13" s="2" t="n"/>
      <c r="B13" s="2" t="n"/>
      <c r="C13" s="2" t="n"/>
      <c r="D13" s="2" t="n"/>
      <c r="E13" s="2" t="n"/>
      <c r="F13" s="2" t="n"/>
      <c r="G13" s="2" t="n"/>
      <c r="H13" s="2" t="n"/>
      <c r="I13" s="43" t="inlineStr">
        <is>
          <t>ish vaqtini hisoblash</t>
        </is>
      </c>
      <c r="J13" s="100" t="n"/>
      <c r="K13" s="100" t="n"/>
      <c r="L13" s="100" t="n"/>
      <c r="M13" s="100" t="n"/>
      <c r="N13" s="100" t="n"/>
      <c r="O13" s="100" t="n"/>
      <c r="P13" s="100" t="n"/>
      <c r="Q13" s="100" t="n"/>
      <c r="R13" s="100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</row>
    <row r="14" ht="16.5" customHeight="1" thickBot="1" thickTop="1">
      <c r="A14" s="73" t="inlineStr">
        <is>
          <t>№</t>
        </is>
      </c>
      <c r="B14" s="75" t="inlineStr">
        <is>
          <t>Familiya IS.</t>
        </is>
      </c>
      <c r="C14" s="75" t="inlineStr">
        <is>
          <t>Lavozim</t>
        </is>
      </c>
      <c r="D14" s="75" t="inlineStr">
        <is>
          <t xml:space="preserve">Bo'lim nomi </t>
        </is>
      </c>
      <c r="E14" s="101" t="inlineStr">
        <is>
          <t>Oyni kunlari bo‘yicha ishga kelish va kelmaslik belgilari</t>
        </is>
      </c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02" t="n"/>
      <c r="R14" s="102" t="n"/>
      <c r="S14" s="102" t="n"/>
      <c r="T14" s="102" t="n"/>
      <c r="U14" s="102" t="n"/>
      <c r="V14" s="102" t="n"/>
      <c r="W14" s="102" t="n"/>
      <c r="X14" s="102" t="n"/>
      <c r="Y14" s="102" t="n"/>
      <c r="Z14" s="102" t="n"/>
      <c r="AA14" s="102" t="n"/>
      <c r="AB14" s="102" t="n"/>
      <c r="AC14" s="102" t="n"/>
      <c r="AD14" s="102" t="n"/>
      <c r="AE14" s="102" t="n"/>
      <c r="AF14" s="102" t="n"/>
      <c r="AG14" s="102" t="n"/>
      <c r="AH14" s="102" t="n"/>
      <c r="AI14" s="103" t="n"/>
      <c r="AJ14" s="104" t="inlineStr">
        <is>
          <t>Oylik ishlagan</t>
        </is>
      </c>
      <c r="AK14" s="105" t="n"/>
    </row>
    <row r="15">
      <c r="A15" s="106" t="n"/>
      <c r="B15" s="107" t="n"/>
      <c r="C15" s="107" t="n"/>
      <c r="D15" s="107" t="n"/>
      <c r="E15" s="67" t="n">
        <v>1</v>
      </c>
      <c r="F15" s="67" t="n">
        <v>2</v>
      </c>
      <c r="G15" s="69" t="n">
        <v>3</v>
      </c>
      <c r="H15" s="69" t="n">
        <v>4</v>
      </c>
      <c r="I15" s="69" t="n">
        <v>5</v>
      </c>
      <c r="J15" s="69" t="n">
        <v>6</v>
      </c>
      <c r="K15" s="69" t="n">
        <v>7</v>
      </c>
      <c r="L15" s="67" t="n">
        <v>8</v>
      </c>
      <c r="M15" s="67" t="n">
        <v>9</v>
      </c>
      <c r="N15" s="69" t="n">
        <v>10</v>
      </c>
      <c r="O15" s="69" t="n">
        <v>11</v>
      </c>
      <c r="P15" s="69" t="n">
        <v>12</v>
      </c>
      <c r="Q15" s="69" t="n">
        <v>13</v>
      </c>
      <c r="R15" s="69" t="n">
        <v>14</v>
      </c>
      <c r="S15" s="67" t="n">
        <v>15</v>
      </c>
      <c r="T15" s="67" t="n">
        <v>16</v>
      </c>
      <c r="U15" s="69" t="n">
        <v>17</v>
      </c>
      <c r="V15" s="69" t="n">
        <v>18</v>
      </c>
      <c r="W15" s="69" t="n">
        <v>19</v>
      </c>
      <c r="X15" s="69" t="n">
        <v>20</v>
      </c>
      <c r="Y15" s="69" t="n">
        <v>21</v>
      </c>
      <c r="Z15" s="67" t="n">
        <v>22</v>
      </c>
      <c r="AA15" s="67" t="n">
        <v>23</v>
      </c>
      <c r="AB15" s="69" t="n">
        <v>24</v>
      </c>
      <c r="AC15" s="69" t="n">
        <v>25</v>
      </c>
      <c r="AD15" s="69" t="n">
        <v>26</v>
      </c>
      <c r="AE15" s="69" t="n">
        <v>27</v>
      </c>
      <c r="AF15" s="69" t="n">
        <v>28</v>
      </c>
      <c r="AG15" s="67" t="n">
        <v>29</v>
      </c>
      <c r="AH15" s="67" t="n">
        <v>30</v>
      </c>
      <c r="AI15" s="69" t="n">
        <v>31</v>
      </c>
      <c r="AJ15" s="69" t="inlineStr">
        <is>
          <t>Kunlar</t>
        </is>
      </c>
      <c r="AK15" s="71" t="inlineStr">
        <is>
          <t>Soat</t>
        </is>
      </c>
    </row>
    <row r="16">
      <c r="A16" s="106" t="n"/>
      <c r="B16" s="107" t="n"/>
      <c r="C16" s="107" t="n"/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  <c r="N16" s="107" t="n"/>
      <c r="O16" s="107" t="n"/>
      <c r="P16" s="107" t="n"/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107" t="n"/>
      <c r="AJ16" s="107" t="n"/>
      <c r="AK16" s="108" t="n"/>
    </row>
    <row r="17">
      <c r="A17" s="106" t="n"/>
      <c r="B17" s="107" t="n"/>
      <c r="C17" s="107" t="n"/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  <c r="N17" s="107" t="n"/>
      <c r="O17" s="107" t="n"/>
      <c r="P17" s="107" t="n"/>
      <c r="Q17" s="107" t="n"/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107" t="n"/>
      <c r="AJ17" s="107" t="n"/>
      <c r="AK17" s="108" t="n"/>
    </row>
    <row r="18">
      <c r="A18" s="78" t="n">
        <v>1</v>
      </c>
      <c r="B18" s="78" t="n">
        <v>2</v>
      </c>
      <c r="C18" s="78" t="n">
        <v>3</v>
      </c>
      <c r="D18" s="78" t="n">
        <v>3</v>
      </c>
      <c r="E18" s="78" t="n">
        <v>4</v>
      </c>
      <c r="F18" s="109" t="n"/>
      <c r="G18" s="109" t="n"/>
      <c r="H18" s="109" t="n"/>
      <c r="I18" s="109" t="n"/>
      <c r="J18" s="109" t="n"/>
      <c r="K18" s="109" t="n"/>
      <c r="L18" s="109" t="n"/>
      <c r="M18" s="109" t="n"/>
      <c r="N18" s="109" t="n"/>
      <c r="O18" s="109" t="n"/>
      <c r="P18" s="109" t="n"/>
      <c r="Q18" s="109" t="n"/>
      <c r="R18" s="109" t="n"/>
      <c r="S18" s="109" t="n"/>
      <c r="T18" s="109" t="n"/>
      <c r="U18" s="109" t="n"/>
      <c r="V18" s="109" t="n"/>
      <c r="W18" s="109" t="n"/>
      <c r="X18" s="109" t="n"/>
      <c r="Y18" s="109" t="n"/>
      <c r="Z18" s="109" t="n"/>
      <c r="AA18" s="109" t="n"/>
      <c r="AB18" s="109" t="n"/>
      <c r="AC18" s="109" t="n"/>
      <c r="AD18" s="109" t="n"/>
      <c r="AE18" s="109" t="n"/>
      <c r="AF18" s="109" t="n"/>
      <c r="AG18" s="109" t="n"/>
      <c r="AH18" s="109" t="n"/>
      <c r="AI18" s="110" t="n"/>
      <c r="AJ18" s="78" t="n">
        <v>5</v>
      </c>
      <c r="AK18" s="78" t="n">
        <v>6</v>
      </c>
    </row>
    <row r="19" ht="17.25" customHeight="1" thickBot="1">
      <c r="A19" s="78" t="n">
        <v>1</v>
      </c>
      <c r="B19" s="26" t="inlineStr">
        <is>
          <t>Махмудов  Фазлиддин Аминович</t>
        </is>
      </c>
      <c r="C19" s="20" t="inlineStr">
        <is>
          <t>Директор</t>
        </is>
      </c>
      <c r="D19" s="19" t="inlineStr">
        <is>
          <t>Бошқарув</t>
        </is>
      </c>
      <c r="E19" s="11" t="n"/>
      <c r="F19" s="11" t="n"/>
      <c r="G19" s="78" t="n"/>
      <c r="H19" s="78" t="n"/>
      <c r="I19" s="78" t="n"/>
      <c r="J19" s="78" t="n"/>
      <c r="K19" s="78" t="n"/>
      <c r="L19" s="11" t="n"/>
      <c r="M19" s="11" t="n"/>
      <c r="N19" s="78" t="n"/>
      <c r="O19" s="78" t="n"/>
      <c r="P19" s="78" t="n"/>
      <c r="Q19" s="78" t="n"/>
      <c r="R19" s="78" t="n"/>
      <c r="S19" s="11" t="n"/>
      <c r="T19" s="11" t="n"/>
      <c r="U19" s="16" t="n"/>
      <c r="V19" s="78" t="n"/>
      <c r="W19" s="78" t="n"/>
      <c r="X19" s="78" t="n"/>
      <c r="Y19" s="78" t="n"/>
      <c r="Z19" s="11" t="n"/>
      <c r="AA19" s="11" t="n"/>
      <c r="AB19" s="16" t="n"/>
      <c r="AC19" s="78" t="n"/>
      <c r="AD19" s="78" t="n"/>
      <c r="AE19" s="78" t="n"/>
      <c r="AF19" s="78" t="n"/>
      <c r="AG19" s="11" t="n"/>
      <c r="AH19" s="11" t="n"/>
      <c r="AI19" s="10" t="n"/>
      <c r="AJ19" s="78">
        <f>IF(COUNT(E19:AI19)=0,"",COUNT(E19:AI19))</f>
        <v/>
      </c>
      <c r="AK19" s="78">
        <f>IF(COUNT(E19:AI19)=0,"",SUM(E19:AI19))</f>
        <v/>
      </c>
    </row>
    <row r="20" ht="15.75" customHeight="1" thickBot="1">
      <c r="A20" s="78" t="n">
        <v>2</v>
      </c>
      <c r="B20" s="26" t="inlineStr">
        <is>
          <t>Жабборов Фозил Фахмон угли</t>
        </is>
      </c>
      <c r="C20" s="20" t="inlineStr">
        <is>
          <t>Цех бошлиги</t>
        </is>
      </c>
      <c r="D20" s="19" t="inlineStr">
        <is>
          <t>Бошқарув апарати мутахассиси</t>
        </is>
      </c>
      <c r="E20" s="11" t="n"/>
      <c r="F20" s="11" t="n"/>
      <c r="G20" s="78" t="n"/>
      <c r="H20" s="78" t="n"/>
      <c r="I20" s="78" t="n"/>
      <c r="J20" s="78" t="n"/>
      <c r="K20" s="78" t="n"/>
      <c r="L20" s="11" t="n"/>
      <c r="M20" s="11" t="n"/>
      <c r="N20" s="78" t="n"/>
      <c r="O20" s="78" t="n"/>
      <c r="P20" s="78" t="n"/>
      <c r="Q20" s="78" t="n"/>
      <c r="R20" s="78" t="n"/>
      <c r="S20" s="11" t="n"/>
      <c r="T20" s="11" t="n"/>
      <c r="U20" s="16" t="n"/>
      <c r="V20" s="78" t="n"/>
      <c r="W20" s="78" t="n"/>
      <c r="X20" s="78" t="n"/>
      <c r="Y20" s="78" t="n"/>
      <c r="Z20" s="11" t="n"/>
      <c r="AA20" s="11" t="n"/>
      <c r="AB20" s="16" t="n"/>
      <c r="AC20" s="78" t="n"/>
      <c r="AD20" s="78" t="n"/>
      <c r="AE20" s="78" t="n"/>
      <c r="AF20" s="78" t="n"/>
      <c r="AG20" s="11" t="n"/>
      <c r="AH20" s="11" t="n"/>
      <c r="AI20" s="10" t="n"/>
      <c r="AJ20" s="78">
        <f>IF(COUNT(E20:AI20)=0,"",COUNT(E20:AI20))</f>
        <v/>
      </c>
      <c r="AK20" s="78">
        <f>IF(COUNT(E20:AI20)=0,"",SUM(E20:AI20))</f>
        <v/>
      </c>
    </row>
    <row r="21" ht="15.75" customHeight="1" thickBot="1">
      <c r="A21" s="78" t="n">
        <v>3</v>
      </c>
      <c r="B21" s="26" t="inlineStr">
        <is>
          <t>Аралова Зебо Баратовна</t>
        </is>
      </c>
      <c r="C21" s="20" t="inlineStr">
        <is>
          <t>Хисобчи</t>
        </is>
      </c>
      <c r="D21" s="19" t="inlineStr">
        <is>
          <t>Бошқарув апарати мутахассиси</t>
        </is>
      </c>
      <c r="E21" s="11" t="n"/>
      <c r="F21" s="11" t="n"/>
      <c r="G21" s="78" t="n"/>
      <c r="H21" s="78" t="n"/>
      <c r="I21" s="78" t="n"/>
      <c r="J21" s="78" t="n"/>
      <c r="K21" s="78" t="n"/>
      <c r="L21" s="11" t="n"/>
      <c r="M21" s="11" t="n"/>
      <c r="N21" s="78" t="n"/>
      <c r="O21" s="78" t="n"/>
      <c r="P21" s="78" t="n"/>
      <c r="Q21" s="78" t="n"/>
      <c r="R21" s="78" t="n"/>
      <c r="S21" s="11" t="n"/>
      <c r="T21" s="11" t="n"/>
      <c r="U21" s="16" t="n"/>
      <c r="V21" s="78" t="n"/>
      <c r="W21" s="78" t="n"/>
      <c r="X21" s="78" t="n"/>
      <c r="Y21" s="78" t="n"/>
      <c r="Z21" s="11" t="n"/>
      <c r="AA21" s="11" t="n"/>
      <c r="AB21" s="16" t="n"/>
      <c r="AC21" s="78" t="n"/>
      <c r="AD21" s="78" t="n"/>
      <c r="AE21" s="78" t="n"/>
      <c r="AF21" s="78" t="n"/>
      <c r="AG21" s="11" t="n"/>
      <c r="AH21" s="11" t="n"/>
      <c r="AI21" s="10" t="n"/>
      <c r="AJ21" s="78">
        <f>IF(COUNT(E21:AI21)=0,"",COUNT(E21:AI21))</f>
        <v/>
      </c>
      <c r="AK21" s="78">
        <f>IF(COUNT(E21:AI21)=0,"",SUM(E21:AI21))</f>
        <v/>
      </c>
    </row>
    <row r="22" ht="15" customHeight="1" thickBot="1">
      <c r="A22" s="78" t="n">
        <v>4</v>
      </c>
      <c r="B22" s="26" t="inlineStr">
        <is>
          <t>Меликмуродов Асадулло  Рахматуллаевич</t>
        </is>
      </c>
      <c r="C22" s="20" t="inlineStr">
        <is>
          <t>Главныий механик</t>
        </is>
      </c>
      <c r="D22" s="19" t="inlineStr">
        <is>
          <t>Бошқарув апарати мутахассиси</t>
        </is>
      </c>
      <c r="E22" s="11" t="n"/>
      <c r="F22" s="11" t="n"/>
      <c r="G22" s="78" t="n"/>
      <c r="H22" s="78" t="n"/>
      <c r="I22" s="78" t="n"/>
      <c r="J22" s="78" t="n"/>
      <c r="K22" s="78" t="n"/>
      <c r="L22" s="11" t="n"/>
      <c r="M22" s="11" t="n"/>
      <c r="N22" s="78" t="n"/>
      <c r="O22" s="78" t="n"/>
      <c r="P22" s="78" t="n"/>
      <c r="Q22" s="78" t="n"/>
      <c r="R22" s="78" t="n"/>
      <c r="S22" s="11" t="n"/>
      <c r="T22" s="11" t="n"/>
      <c r="U22" s="16" t="n"/>
      <c r="V22" s="78" t="n"/>
      <c r="W22" s="78" t="n"/>
      <c r="X22" s="78" t="n"/>
      <c r="Y22" s="78" t="n"/>
      <c r="Z22" s="11" t="n"/>
      <c r="AA22" s="11" t="n"/>
      <c r="AB22" s="16" t="n"/>
      <c r="AC22" s="78" t="n"/>
      <c r="AD22" s="78" t="n"/>
      <c r="AE22" s="78" t="n"/>
      <c r="AF22" s="78" t="n"/>
      <c r="AG22" s="11" t="n"/>
      <c r="AH22" s="11" t="n"/>
      <c r="AI22" s="10" t="n"/>
      <c r="AJ22" s="78">
        <f>IF(COUNT(E22:AI22)=0,"",COUNT(E22:AI22))</f>
        <v/>
      </c>
      <c r="AK22" s="78">
        <f>IF(COUNT(E22:AI22)=0,"",SUM(E22:AI22))</f>
        <v/>
      </c>
    </row>
    <row r="23" ht="15" customHeight="1" thickBot="1">
      <c r="A23" s="78" t="n">
        <v>5</v>
      </c>
      <c r="B23" s="26" t="inlineStr">
        <is>
          <t>Махмудов  Бахтиёр Юнус угли</t>
        </is>
      </c>
      <c r="C23" s="29" t="inlineStr">
        <is>
          <t>Инженер ОТК</t>
        </is>
      </c>
      <c r="D23" s="19" t="inlineStr">
        <is>
          <t>Бошқарув апарати мутахассиси</t>
        </is>
      </c>
      <c r="E23" s="11" t="n"/>
      <c r="F23" s="11" t="n"/>
      <c r="G23" s="78" t="n"/>
      <c r="H23" s="78" t="n"/>
      <c r="I23" s="78" t="n"/>
      <c r="J23" s="78" t="n"/>
      <c r="K23" s="78" t="n"/>
      <c r="L23" s="11" t="n"/>
      <c r="M23" s="11" t="n"/>
      <c r="N23" s="78" t="n"/>
      <c r="O23" s="78" t="n"/>
      <c r="P23" s="78" t="n"/>
      <c r="Q23" s="78" t="n"/>
      <c r="R23" s="78" t="n"/>
      <c r="S23" s="11" t="n"/>
      <c r="T23" s="11" t="n"/>
      <c r="U23" s="16" t="n"/>
      <c r="V23" s="78" t="n"/>
      <c r="W23" s="78" t="n"/>
      <c r="X23" s="78" t="n"/>
      <c r="Y23" s="78" t="n"/>
      <c r="Z23" s="11" t="n"/>
      <c r="AA23" s="11" t="n"/>
      <c r="AB23" s="16" t="n"/>
      <c r="AC23" s="78" t="n"/>
      <c r="AD23" s="78" t="n"/>
      <c r="AE23" s="78" t="n"/>
      <c r="AF23" s="78" t="n"/>
      <c r="AG23" s="11" t="n"/>
      <c r="AH23" s="11" t="n"/>
      <c r="AI23" s="10" t="n"/>
      <c r="AJ23" s="78">
        <f>IF(COUNT(E23:AI23)=0,"",COUNT(E23:AI23))</f>
        <v/>
      </c>
      <c r="AK23" s="78">
        <f>IF(COUNT(E23:AI23)=0,"",SUM(E23:AI23))</f>
        <v/>
      </c>
    </row>
    <row r="24" ht="15" customHeight="1" thickBot="1">
      <c r="A24" s="78" t="n">
        <v>6</v>
      </c>
      <c r="B24" s="26" t="inlineStr">
        <is>
          <t>Мелибойев  Лукмон Файзуллаевич</t>
        </is>
      </c>
      <c r="C24" s="20" t="inlineStr">
        <is>
          <t>Инженер ТБ</t>
        </is>
      </c>
      <c r="D24" s="19" t="inlineStr">
        <is>
          <t>Бошқарув апарати мутахассиси</t>
        </is>
      </c>
      <c r="E24" s="11" t="n"/>
      <c r="F24" s="11" t="n"/>
      <c r="G24" s="78" t="n"/>
      <c r="H24" s="78" t="n"/>
      <c r="I24" s="78" t="n"/>
      <c r="J24" s="78" t="n"/>
      <c r="K24" s="78" t="n"/>
      <c r="L24" s="11" t="n"/>
      <c r="M24" s="11" t="n"/>
      <c r="N24" s="78" t="n"/>
      <c r="O24" s="78" t="n"/>
      <c r="P24" s="78" t="n"/>
      <c r="Q24" s="78" t="n"/>
      <c r="R24" s="78" t="n"/>
      <c r="S24" s="11" t="n"/>
      <c r="T24" s="11" t="n"/>
      <c r="U24" s="16" t="n"/>
      <c r="V24" s="78" t="n"/>
      <c r="W24" s="78" t="n"/>
      <c r="X24" s="78" t="n"/>
      <c r="Y24" s="78" t="n"/>
      <c r="Z24" s="11" t="n"/>
      <c r="AA24" s="11" t="n"/>
      <c r="AB24" s="16" t="n"/>
      <c r="AC24" s="78" t="n"/>
      <c r="AD24" s="78" t="n"/>
      <c r="AE24" s="78" t="n"/>
      <c r="AF24" s="78" t="n"/>
      <c r="AG24" s="11" t="n"/>
      <c r="AH24" s="11" t="n"/>
      <c r="AI24" s="10" t="n"/>
      <c r="AJ24" s="78">
        <f>IF(COUNT(E24:AI24)=0,"",COUNT(E24:AI24))</f>
        <v/>
      </c>
      <c r="AK24" s="78">
        <f>IF(COUNT(E24:AI24)=0,"",SUM(E24:AI24))</f>
        <v/>
      </c>
    </row>
    <row r="25" ht="16.5" customHeight="1" thickBot="1">
      <c r="A25" s="78" t="n">
        <v>7</v>
      </c>
      <c r="B25" s="26" t="inlineStr">
        <is>
          <t>Хакбердиев Шахзод Фарход угли</t>
        </is>
      </c>
      <c r="C25" s="20" t="inlineStr">
        <is>
          <t>Омбор мудири-механик</t>
        </is>
      </c>
      <c r="D25" s="19" t="inlineStr">
        <is>
          <t>Бошқарув апарати мутахассиси</t>
        </is>
      </c>
      <c r="E25" s="11" t="n"/>
      <c r="F25" s="11" t="n"/>
      <c r="G25" s="78" t="n"/>
      <c r="H25" s="78" t="n"/>
      <c r="I25" s="78" t="n"/>
      <c r="J25" s="78" t="n"/>
      <c r="K25" s="78" t="n"/>
      <c r="L25" s="11" t="n"/>
      <c r="M25" s="11" t="n"/>
      <c r="N25" s="78" t="n"/>
      <c r="O25" s="78" t="n"/>
      <c r="P25" s="78" t="n"/>
      <c r="Q25" s="78" t="n"/>
      <c r="R25" s="78" t="n"/>
      <c r="S25" s="11" t="n"/>
      <c r="T25" s="11" t="n"/>
      <c r="U25" s="16" t="n"/>
      <c r="V25" s="78" t="n"/>
      <c r="W25" s="78" t="n"/>
      <c r="X25" s="78" t="n"/>
      <c r="Y25" s="78" t="n"/>
      <c r="Z25" s="11" t="n"/>
      <c r="AA25" s="11" t="n"/>
      <c r="AB25" s="16" t="n"/>
      <c r="AC25" s="78" t="n"/>
      <c r="AD25" s="78" t="n"/>
      <c r="AE25" s="78" t="n"/>
      <c r="AF25" s="78" t="n"/>
      <c r="AG25" s="11" t="n"/>
      <c r="AH25" s="11" t="n"/>
      <c r="AI25" s="10" t="n"/>
      <c r="AJ25" s="78">
        <f>IF(COUNT(E25:AI25)=0,"",COUNT(E25:AI25))</f>
        <v/>
      </c>
      <c r="AK25" s="78">
        <f>IF(COUNT(E25:AI25)=0,"",SUM(E25:AI25))</f>
        <v/>
      </c>
    </row>
    <row r="26" ht="15.75" customHeight="1" thickBot="1">
      <c r="A26" s="78" t="n">
        <v>8</v>
      </c>
      <c r="B26" s="20" t="inlineStr">
        <is>
          <t>Холмирзоева  Дилобар  Тоир кизи</t>
        </is>
      </c>
      <c r="C26" s="20" t="inlineStr">
        <is>
          <t>Отдел кадр</t>
        </is>
      </c>
      <c r="D26" s="19" t="inlineStr">
        <is>
          <t>Бошқарув апарати мутахассиси</t>
        </is>
      </c>
      <c r="E26" s="11" t="n"/>
      <c r="F26" s="11" t="n"/>
      <c r="G26" s="78" t="n"/>
      <c r="H26" s="78" t="n"/>
      <c r="I26" s="78" t="n"/>
      <c r="J26" s="78" t="n"/>
      <c r="K26" s="78" t="n"/>
      <c r="L26" s="11" t="n"/>
      <c r="M26" s="11" t="n"/>
      <c r="N26" s="78" t="n"/>
      <c r="O26" s="78" t="n"/>
      <c r="P26" s="78" t="n"/>
      <c r="Q26" s="78" t="n"/>
      <c r="R26" s="78" t="n"/>
      <c r="S26" s="11" t="n"/>
      <c r="T26" s="11" t="n"/>
      <c r="U26" s="16" t="n"/>
      <c r="V26" s="78" t="n"/>
      <c r="W26" s="78" t="n"/>
      <c r="X26" s="78" t="n"/>
      <c r="Y26" s="78" t="n"/>
      <c r="Z26" s="11" t="n"/>
      <c r="AA26" s="11" t="n"/>
      <c r="AB26" s="16" t="n"/>
      <c r="AC26" s="78" t="n"/>
      <c r="AD26" s="78" t="n"/>
      <c r="AE26" s="78" t="n"/>
      <c r="AF26" s="78" t="n"/>
      <c r="AG26" s="11" t="n"/>
      <c r="AH26" s="11" t="n"/>
      <c r="AI26" s="10" t="n"/>
      <c r="AJ26" s="78">
        <f>IF(COUNT(E26:AI26)=0,"",COUNT(E26:AI26))</f>
        <v/>
      </c>
      <c r="AK26" s="78">
        <f>IF(COUNT(E26:AI26)=0,"",SUM(E26:AI26))</f>
        <v/>
      </c>
    </row>
    <row r="27" ht="13.5" customHeight="1" thickBot="1">
      <c r="A27" s="78" t="n">
        <v>9</v>
      </c>
      <c r="B27" s="28" t="inlineStr">
        <is>
          <t>Худойназаров Самандар Алижон ўғли</t>
        </is>
      </c>
      <c r="C27" s="20" t="inlineStr">
        <is>
          <t>Дастурчи</t>
        </is>
      </c>
      <c r="D27" s="19" t="inlineStr">
        <is>
          <t>Бошқарув апарати мутахассиси</t>
        </is>
      </c>
      <c r="E27" s="11" t="n"/>
      <c r="F27" s="11" t="n"/>
      <c r="G27" s="78" t="n"/>
      <c r="H27" s="78" t="n"/>
      <c r="I27" s="78" t="n"/>
      <c r="J27" s="78" t="n"/>
      <c r="K27" s="78" t="n"/>
      <c r="L27" s="11" t="n"/>
      <c r="M27" s="11" t="n"/>
      <c r="N27" s="78" t="n"/>
      <c r="O27" s="78" t="n"/>
      <c r="P27" s="78" t="n"/>
      <c r="Q27" s="78" t="n"/>
      <c r="R27" s="78" t="n"/>
      <c r="S27" s="11" t="n"/>
      <c r="T27" s="11" t="n"/>
      <c r="U27" s="16" t="n"/>
      <c r="V27" s="78" t="n"/>
      <c r="W27" s="78" t="n"/>
      <c r="X27" s="78" t="n"/>
      <c r="Y27" s="78" t="n"/>
      <c r="Z27" s="11" t="n"/>
      <c r="AA27" s="11" t="n"/>
      <c r="AB27" s="16" t="n"/>
      <c r="AC27" s="78" t="n"/>
      <c r="AD27" s="78" t="n"/>
      <c r="AE27" s="78" t="n"/>
      <c r="AF27" s="78" t="n"/>
      <c r="AG27" s="11" t="n"/>
      <c r="AH27" s="11" t="n"/>
      <c r="AI27" s="10" t="n"/>
      <c r="AJ27" s="78">
        <f>IF(COUNT(E27:AI27)=0,"",COUNT(E27:AI27))</f>
        <v/>
      </c>
      <c r="AK27" s="78">
        <f>IF(COUNT(E27:AI27)=0,"",SUM(E27:AI27))</f>
        <v/>
      </c>
    </row>
    <row r="28" ht="15" customHeight="1" thickBot="1">
      <c r="A28" s="78" t="n">
        <v>10</v>
      </c>
      <c r="B28" s="27" t="inlineStr">
        <is>
          <t>Бобоев Илхом Абдукаримов</t>
        </is>
      </c>
      <c r="C28" s="20" t="inlineStr">
        <is>
          <t>Цех устаси №1</t>
        </is>
      </c>
      <c r="D28" s="19" t="inlineStr">
        <is>
          <t>Бошқарув апарати мутахассиси</t>
        </is>
      </c>
      <c r="E28" s="11" t="n"/>
      <c r="F28" s="11" t="n"/>
      <c r="G28" s="78" t="n"/>
      <c r="H28" s="78" t="n"/>
      <c r="I28" s="78" t="n"/>
      <c r="J28" s="78" t="n"/>
      <c r="K28" s="78" t="n"/>
      <c r="L28" s="11" t="n"/>
      <c r="M28" s="11" t="n"/>
      <c r="N28" s="78" t="n"/>
      <c r="O28" s="78" t="n"/>
      <c r="P28" s="78" t="n"/>
      <c r="Q28" s="78" t="n"/>
      <c r="R28" s="78" t="n"/>
      <c r="S28" s="11" t="n"/>
      <c r="T28" s="11" t="n"/>
      <c r="U28" s="78" t="n"/>
      <c r="V28" s="78" t="n"/>
      <c r="W28" s="78" t="n"/>
      <c r="X28" s="78" t="n"/>
      <c r="Y28" s="78" t="n"/>
      <c r="Z28" s="11" t="n"/>
      <c r="AA28" s="11" t="n"/>
      <c r="AB28" s="16" t="n"/>
      <c r="AC28" s="78" t="n"/>
      <c r="AD28" s="78" t="n"/>
      <c r="AE28" s="78" t="n"/>
      <c r="AF28" s="78" t="n"/>
      <c r="AG28" s="11" t="n"/>
      <c r="AH28" s="11" t="n"/>
      <c r="AI28" s="10" t="n"/>
      <c r="AJ28" s="78">
        <f>IF(COUNT(E28:AI28)=0,"",COUNT(E28:AI28))</f>
        <v/>
      </c>
      <c r="AK28" s="78">
        <f>IF(COUNT(E28:AI28)=0,"",SUM(E28:AI28))</f>
        <v/>
      </c>
    </row>
    <row r="29" ht="15.75" customHeight="1" thickBot="1">
      <c r="A29" s="78" t="n">
        <v>11</v>
      </c>
      <c r="B29" s="26" t="inlineStr">
        <is>
          <t>Ашурова Юлдузхон</t>
        </is>
      </c>
      <c r="C29" s="20" t="inlineStr">
        <is>
          <t>Ошпаз</t>
        </is>
      </c>
      <c r="D29" s="19" t="inlineStr">
        <is>
          <t>Хизмат кўрсатиш бўлими</t>
        </is>
      </c>
      <c r="E29" s="11" t="n"/>
      <c r="F29" s="11" t="n"/>
      <c r="G29" s="78" t="n"/>
      <c r="H29" s="78" t="n"/>
      <c r="I29" s="78" t="n"/>
      <c r="J29" s="78" t="n"/>
      <c r="K29" s="78" t="n"/>
      <c r="L29" s="11" t="n"/>
      <c r="M29" s="11" t="n"/>
      <c r="N29" s="78" t="n"/>
      <c r="O29" s="78" t="n"/>
      <c r="P29" s="78" t="n"/>
      <c r="Q29" s="78" t="n"/>
      <c r="R29" s="78" t="n"/>
      <c r="S29" s="11" t="n"/>
      <c r="T29" s="11" t="n"/>
      <c r="U29" s="16" t="n"/>
      <c r="V29" s="78" t="n"/>
      <c r="W29" s="78" t="n"/>
      <c r="X29" s="78" t="n"/>
      <c r="Y29" s="78" t="n"/>
      <c r="Z29" s="11" t="n"/>
      <c r="AA29" s="11" t="n"/>
      <c r="AB29" s="16" t="n"/>
      <c r="AC29" s="78" t="n"/>
      <c r="AD29" s="78" t="n"/>
      <c r="AE29" s="78" t="n"/>
      <c r="AF29" s="78" t="n"/>
      <c r="AG29" s="11" t="n"/>
      <c r="AH29" s="11" t="n"/>
      <c r="AI29" s="10" t="n"/>
      <c r="AJ29" s="78">
        <f>IF(COUNT(E29:AI29)=0,"",COUNT(E29:AI29))</f>
        <v/>
      </c>
      <c r="AK29" s="78">
        <f>IF(COUNT(E29:AI29)=0,"",SUM(E29:AI29))</f>
        <v/>
      </c>
    </row>
    <row r="30" ht="17.25" customHeight="1" thickBot="1">
      <c r="A30" s="78" t="n">
        <v>12</v>
      </c>
      <c r="B30" s="26" t="inlineStr">
        <is>
          <t>Рахматуллаева Шарифа  Мингбобоевна</t>
        </is>
      </c>
      <c r="C30" s="20" t="inlineStr">
        <is>
          <t>Фаррош</t>
        </is>
      </c>
      <c r="D30" s="19" t="inlineStr">
        <is>
          <t>Хизмат кўрсатиш бўлими</t>
        </is>
      </c>
      <c r="E30" s="11" t="n"/>
      <c r="F30" s="11" t="n"/>
      <c r="G30" s="78" t="n"/>
      <c r="H30" s="11" t="n"/>
      <c r="I30" s="78" t="n"/>
      <c r="J30" s="11" t="n"/>
      <c r="K30" s="78" t="n"/>
      <c r="L30" s="11" t="n"/>
      <c r="M30" s="11" t="n"/>
      <c r="N30" s="78" t="n"/>
      <c r="O30" s="11" t="n"/>
      <c r="P30" s="78" t="n"/>
      <c r="Q30" s="11" t="n"/>
      <c r="R30" s="78" t="n"/>
      <c r="S30" s="11" t="n"/>
      <c r="T30" s="11" t="n"/>
      <c r="U30" s="16" t="n"/>
      <c r="V30" s="11" t="n"/>
      <c r="W30" s="78" t="n"/>
      <c r="X30" s="11" t="n"/>
      <c r="Y30" s="78" t="n"/>
      <c r="Z30" s="11" t="n"/>
      <c r="AA30" s="11" t="n"/>
      <c r="AB30" s="16" t="n"/>
      <c r="AC30" s="11" t="n"/>
      <c r="AD30" s="78" t="n"/>
      <c r="AE30" s="11" t="n"/>
      <c r="AF30" s="78" t="n"/>
      <c r="AG30" s="11" t="n"/>
      <c r="AH30" s="11" t="n"/>
      <c r="AI30" s="10" t="n"/>
      <c r="AJ30" s="78">
        <f>IF(COUNT(E30:AI30)=0,"",COUNT(E30:AI30))</f>
        <v/>
      </c>
      <c r="AK30" s="78">
        <f>IF(COUNT(E30:AI30)=0,"",SUM(E30:AI30))</f>
        <v/>
      </c>
    </row>
    <row r="31" ht="16.5" customHeight="1" thickBot="1">
      <c r="A31" s="78" t="n">
        <v>13</v>
      </c>
      <c r="B31" s="26" t="inlineStr">
        <is>
          <t>Нозимов Исматилло  Нормуродович</t>
        </is>
      </c>
      <c r="C31" s="20" t="inlineStr">
        <is>
          <t xml:space="preserve">Буйокчи сувокчи </t>
        </is>
      </c>
      <c r="D31" s="19" t="inlineStr">
        <is>
          <t>Хизмат кўрсатиш бўлими</t>
        </is>
      </c>
      <c r="E31" s="11" t="n"/>
      <c r="F31" s="11" t="n"/>
      <c r="G31" s="78" t="n"/>
      <c r="H31" s="78" t="n"/>
      <c r="I31" s="78" t="n"/>
      <c r="J31" s="78" t="n"/>
      <c r="K31" s="78" t="n"/>
      <c r="L31" s="11" t="n"/>
      <c r="M31" s="11" t="n"/>
      <c r="N31" s="78" t="n"/>
      <c r="O31" s="78" t="n"/>
      <c r="P31" s="78" t="n"/>
      <c r="Q31" s="78" t="n"/>
      <c r="R31" s="78" t="n"/>
      <c r="S31" s="11" t="n"/>
      <c r="T31" s="11" t="n"/>
      <c r="U31" s="16" t="n"/>
      <c r="V31" s="78" t="n"/>
      <c r="W31" s="78" t="n"/>
      <c r="X31" s="78" t="n"/>
      <c r="Y31" s="78" t="n"/>
      <c r="Z31" s="11" t="n"/>
      <c r="AA31" s="11" t="n"/>
      <c r="AB31" s="16" t="n"/>
      <c r="AC31" s="78" t="n"/>
      <c r="AD31" s="78" t="n"/>
      <c r="AE31" s="78" t="n"/>
      <c r="AF31" s="78" t="n"/>
      <c r="AG31" s="11" t="n"/>
      <c r="AH31" s="11" t="n"/>
      <c r="AI31" s="10" t="n"/>
      <c r="AJ31" s="78">
        <f>IF(COUNT(E31:AI31)=0,"",COUNT(E31:AI31))</f>
        <v/>
      </c>
      <c r="AK31" s="78">
        <f>IF(COUNT(E31:AI31)=0,"",SUM(E31:AI31))</f>
        <v/>
      </c>
    </row>
    <row r="32" ht="15.75" customHeight="1" thickBot="1">
      <c r="A32" s="78" t="n">
        <v>14</v>
      </c>
      <c r="B32" s="25" t="inlineStr">
        <is>
          <t>Шарипов Абдумалик Гапарович</t>
        </is>
      </c>
      <c r="C32" s="20" t="inlineStr">
        <is>
          <t>Электромонтёр</t>
        </is>
      </c>
      <c r="D32" s="19" t="inlineStr">
        <is>
          <t>Бош механик бўлими</t>
        </is>
      </c>
      <c r="E32" s="11" t="n"/>
      <c r="F32" s="11" t="n"/>
      <c r="G32" s="78" t="n"/>
      <c r="H32" s="78" t="n"/>
      <c r="I32" s="78" t="n"/>
      <c r="J32" s="78" t="n"/>
      <c r="K32" s="78" t="n"/>
      <c r="L32" s="11" t="n"/>
      <c r="M32" s="11" t="n"/>
      <c r="N32" s="78" t="n"/>
      <c r="O32" s="78" t="n"/>
      <c r="P32" s="78" t="n"/>
      <c r="Q32" s="78" t="n"/>
      <c r="R32" s="78" t="n"/>
      <c r="S32" s="11" t="n"/>
      <c r="T32" s="11" t="n"/>
      <c r="U32" s="16" t="n"/>
      <c r="V32" s="78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0" t="n"/>
      <c r="AJ32" s="78">
        <f>IF(COUNT(E32:AI32)=0,"",COUNT(E32:AI32))</f>
        <v/>
      </c>
      <c r="AK32" s="78">
        <f>IF(COUNT(E32:AI32)=0,"",SUM(E32:AI32))</f>
        <v/>
      </c>
    </row>
    <row r="33" ht="15.75" customHeight="1" thickBot="1">
      <c r="A33" s="78" t="n">
        <v>15</v>
      </c>
      <c r="B33" s="25" t="inlineStr">
        <is>
          <t>Бабаев Собир Ниёзмуродович</t>
        </is>
      </c>
      <c r="C33" s="20" t="inlineStr">
        <is>
          <t>Хайдовчи (Булдозер)</t>
        </is>
      </c>
      <c r="D33" s="19" t="inlineStr">
        <is>
          <t>Бош механик бўлими</t>
        </is>
      </c>
      <c r="E33" s="11" t="n"/>
      <c r="F33" s="11" t="n"/>
      <c r="G33" s="78" t="n"/>
      <c r="H33" s="78" t="n"/>
      <c r="I33" s="78" t="n"/>
      <c r="J33" s="78" t="n"/>
      <c r="K33" s="78" t="n"/>
      <c r="L33" s="11" t="n"/>
      <c r="M33" s="11" t="n"/>
      <c r="N33" s="78" t="n"/>
      <c r="O33" s="78" t="n"/>
      <c r="P33" s="78" t="n"/>
      <c r="Q33" s="78" t="n"/>
      <c r="R33" s="78" t="n"/>
      <c r="S33" s="11" t="n"/>
      <c r="T33" s="11" t="n"/>
      <c r="U33" s="16" t="n"/>
      <c r="V33" s="78" t="n"/>
      <c r="W33" s="78" t="n"/>
      <c r="X33" s="78" t="n"/>
      <c r="Y33" s="78" t="n"/>
      <c r="Z33" s="11" t="n"/>
      <c r="AA33" s="11" t="n"/>
      <c r="AB33" s="16" t="n"/>
      <c r="AC33" s="78" t="n"/>
      <c r="AD33" s="78" t="n"/>
      <c r="AE33" s="78" t="n"/>
      <c r="AF33" s="78" t="n"/>
      <c r="AG33" s="11" t="n"/>
      <c r="AH33" s="11" t="n"/>
      <c r="AI33" s="10" t="n"/>
      <c r="AJ33" s="78">
        <f>IF(COUNT(E33:AI33)=0,"",COUNT(E33:AI33))</f>
        <v/>
      </c>
      <c r="AK33" s="78">
        <f>IF(COUNT(E33:AI33)=0,"",SUM(E33:AI33))</f>
        <v/>
      </c>
    </row>
    <row r="34" ht="15.75" customHeight="1" thickBot="1">
      <c r="A34" s="78" t="n">
        <v>16</v>
      </c>
      <c r="B34" s="25" t="inlineStr">
        <is>
          <t>Чориев Туракул  Аллоёрович</t>
        </is>
      </c>
      <c r="C34" s="20" t="inlineStr">
        <is>
          <t>Хайдовчи (Тягач)</t>
        </is>
      </c>
      <c r="D34" s="19" t="inlineStr">
        <is>
          <t>Бош механик бўлими</t>
        </is>
      </c>
      <c r="E34" s="11" t="n"/>
      <c r="F34" s="11" t="n"/>
      <c r="G34" s="78" t="n"/>
      <c r="H34" s="78" t="n"/>
      <c r="I34" s="78" t="n"/>
      <c r="J34" s="78" t="n"/>
      <c r="K34" s="78" t="n"/>
      <c r="L34" s="11" t="n"/>
      <c r="M34" s="11" t="n"/>
      <c r="N34" s="78" t="n"/>
      <c r="O34" s="78" t="n"/>
      <c r="P34" s="78" t="n"/>
      <c r="Q34" s="78" t="n"/>
      <c r="R34" s="78" t="n"/>
      <c r="S34" s="11" t="n"/>
      <c r="T34" s="11" t="n"/>
      <c r="U34" s="16" t="n"/>
      <c r="V34" s="78" t="n"/>
      <c r="W34" s="78" t="n"/>
      <c r="X34" s="78" t="n"/>
      <c r="Y34" s="78" t="n"/>
      <c r="Z34" s="11" t="n"/>
      <c r="AA34" s="11" t="n"/>
      <c r="AB34" s="16" t="n"/>
      <c r="AC34" s="78" t="n"/>
      <c r="AD34" s="78" t="n"/>
      <c r="AE34" s="78" t="n"/>
      <c r="AF34" s="78" t="n"/>
      <c r="AG34" s="11" t="n"/>
      <c r="AH34" s="11" t="n"/>
      <c r="AI34" s="10" t="n"/>
      <c r="AJ34" s="78">
        <f>IF(COUNT(E34:AI34)=0,"",COUNT(E34:AI34))</f>
        <v/>
      </c>
      <c r="AK34" s="78">
        <f>IF(COUNT(E34:AI34)=0,"",SUM(E34:AI34))</f>
        <v/>
      </c>
    </row>
    <row r="35" ht="15" customHeight="1" thickBot="1">
      <c r="A35" s="78" t="n">
        <v>17</v>
      </c>
      <c r="B35" s="25" t="inlineStr">
        <is>
          <t>Муродуллаев Шухрат Асатулло угли</t>
        </is>
      </c>
      <c r="C35" s="20" t="inlineStr">
        <is>
          <t>Хайдовчи (Самосвал)</t>
        </is>
      </c>
      <c r="D35" s="19" t="inlineStr">
        <is>
          <t>Бош механик бўлими</t>
        </is>
      </c>
      <c r="E35" s="11" t="n"/>
      <c r="F35" s="11" t="n"/>
      <c r="G35" s="78" t="n"/>
      <c r="H35" s="78" t="n"/>
      <c r="I35" s="78" t="n"/>
      <c r="J35" s="78" t="n"/>
      <c r="K35" s="78" t="n"/>
      <c r="L35" s="11" t="n"/>
      <c r="M35" s="11" t="n"/>
      <c r="N35" s="78" t="n"/>
      <c r="O35" s="78" t="n"/>
      <c r="P35" s="78" t="n"/>
      <c r="Q35" s="78" t="n"/>
      <c r="R35" s="78" t="n"/>
      <c r="S35" s="11" t="n"/>
      <c r="T35" s="11" t="n"/>
      <c r="U35" s="16" t="n"/>
      <c r="V35" s="78" t="n"/>
      <c r="W35" s="78" t="n"/>
      <c r="X35" s="78" t="n"/>
      <c r="Y35" s="78" t="n"/>
      <c r="Z35" s="11" t="n"/>
      <c r="AA35" s="11" t="n"/>
      <c r="AB35" s="16" t="n"/>
      <c r="AC35" s="78" t="n"/>
      <c r="AD35" s="78" t="n"/>
      <c r="AE35" s="78" t="n"/>
      <c r="AF35" s="78" t="n"/>
      <c r="AG35" s="11" t="n"/>
      <c r="AH35" s="11" t="n"/>
      <c r="AI35" s="10" t="n"/>
      <c r="AJ35" s="78">
        <f>IF(COUNT(E35:AI35)=0,"",COUNT(E35:AI35))</f>
        <v/>
      </c>
      <c r="AK35" s="78">
        <f>IF(COUNT(E35:AI35)=0,"",SUM(E35:AI35))</f>
        <v/>
      </c>
    </row>
    <row r="36" ht="15.75" customHeight="1" thickBot="1">
      <c r="A36" s="78" t="n">
        <v>18</v>
      </c>
      <c r="B36" s="25" t="inlineStr">
        <is>
          <t xml:space="preserve">Тошев Абдулхай Нарзуллаевич </t>
        </is>
      </c>
      <c r="C36" s="20" t="inlineStr">
        <is>
          <t>Электрпайвандчи</t>
        </is>
      </c>
      <c r="D36" s="19" t="inlineStr">
        <is>
          <t>Бош механик бўлими</t>
        </is>
      </c>
      <c r="E36" s="11" t="n"/>
      <c r="F36" s="11" t="n"/>
      <c r="G36" s="78" t="n"/>
      <c r="H36" s="78" t="n"/>
      <c r="I36" s="78" t="n"/>
      <c r="J36" s="78" t="n"/>
      <c r="K36" s="78" t="n"/>
      <c r="L36" s="11" t="n"/>
      <c r="M36" s="11" t="n"/>
      <c r="N36" s="78" t="n"/>
      <c r="O36" s="78" t="n"/>
      <c r="P36" s="78" t="n"/>
      <c r="Q36" s="78" t="n"/>
      <c r="R36" s="78" t="n"/>
      <c r="S36" s="11" t="n"/>
      <c r="T36" s="11" t="n"/>
      <c r="U36" s="16" t="n"/>
      <c r="V36" s="78" t="n"/>
      <c r="W36" s="78" t="n"/>
      <c r="X36" s="78" t="n"/>
      <c r="Y36" s="78" t="n"/>
      <c r="Z36" s="11" t="n"/>
      <c r="AA36" s="11" t="n"/>
      <c r="AB36" s="16" t="n"/>
      <c r="AC36" s="78" t="n"/>
      <c r="AD36" s="78" t="n"/>
      <c r="AE36" s="78" t="n"/>
      <c r="AF36" s="78" t="n"/>
      <c r="AG36" s="11" t="n"/>
      <c r="AH36" s="11" t="n"/>
      <c r="AI36" s="10" t="n"/>
      <c r="AJ36" s="78">
        <f>IF(COUNT(E36:AI36)=0,"",COUNT(E36:AI36))</f>
        <v/>
      </c>
      <c r="AK36" s="78">
        <f>IF(COUNT(E36:AI36)=0,"",SUM(E36:AI36))</f>
        <v/>
      </c>
    </row>
    <row r="37" ht="18" customHeight="1" thickBot="1">
      <c r="A37" s="78" t="n">
        <v>19</v>
      </c>
      <c r="B37" s="26" t="inlineStr">
        <is>
          <t>Рахимов Шахриддин  Насриддинович</t>
        </is>
      </c>
      <c r="C37" s="20" t="inlineStr">
        <is>
          <t>Котёлщик</t>
        </is>
      </c>
      <c r="D37" s="19" t="inlineStr">
        <is>
          <t xml:space="preserve">Ишлаб чиқариш бўлими </t>
        </is>
      </c>
      <c r="E37" s="11" t="n"/>
      <c r="F37" s="11" t="n"/>
      <c r="G37" s="78" t="n"/>
      <c r="H37" s="78" t="n"/>
      <c r="I37" s="78" t="n"/>
      <c r="J37" s="78" t="n"/>
      <c r="K37" s="78" t="n"/>
      <c r="L37" s="11" t="n"/>
      <c r="M37" s="11" t="n"/>
      <c r="N37" s="78" t="n"/>
      <c r="O37" s="78" t="n"/>
      <c r="P37" s="78" t="n"/>
      <c r="Q37" s="78" t="n"/>
      <c r="R37" s="78" t="n"/>
      <c r="S37" s="11" t="n"/>
      <c r="T37" s="11" t="n"/>
      <c r="U37" s="16" t="n"/>
      <c r="V37" s="78" t="n"/>
      <c r="W37" s="78" t="n"/>
      <c r="X37" s="78" t="n"/>
      <c r="Y37" s="78" t="n"/>
      <c r="Z37" s="11" t="n"/>
      <c r="AA37" s="11" t="n"/>
      <c r="AB37" s="16" t="n"/>
      <c r="AC37" s="78" t="n"/>
      <c r="AD37" s="78" t="n"/>
      <c r="AE37" s="78" t="n"/>
      <c r="AF37" s="78" t="n"/>
      <c r="AG37" s="11" t="n"/>
      <c r="AH37" s="11" t="n"/>
      <c r="AI37" s="10" t="n"/>
      <c r="AJ37" s="78">
        <f>IF(COUNT(E37:AI37)=0,"",COUNT(E37:AI37))</f>
        <v/>
      </c>
      <c r="AK37" s="78">
        <f>IF(COUNT(E37:AI37)=0,"",SUM(E37:AI37))</f>
        <v/>
      </c>
    </row>
    <row r="38" ht="15" customHeight="1" thickBot="1">
      <c r="A38" s="78" t="n">
        <v>20</v>
      </c>
      <c r="B38" s="26" t="inlineStr">
        <is>
          <t>Рахимов Ахлиддин  Насриддинович</t>
        </is>
      </c>
      <c r="C38" s="20" t="inlineStr">
        <is>
          <t>Компрессорчи</t>
        </is>
      </c>
      <c r="D38" s="19" t="inlineStr">
        <is>
          <t xml:space="preserve">Ишлаб чиқариш бўлими </t>
        </is>
      </c>
      <c r="E38" s="11" t="n"/>
      <c r="F38" s="11" t="n"/>
      <c r="G38" s="78" t="n"/>
      <c r="H38" s="78" t="n"/>
      <c r="I38" s="78" t="n"/>
      <c r="J38" s="78" t="n"/>
      <c r="K38" s="78" t="n"/>
      <c r="L38" s="11" t="n"/>
      <c r="M38" s="11" t="n"/>
      <c r="N38" s="78" t="n"/>
      <c r="O38" s="78" t="n"/>
      <c r="P38" s="78" t="n"/>
      <c r="Q38" s="78" t="n"/>
      <c r="R38" s="78" t="n"/>
      <c r="S38" s="11" t="n"/>
      <c r="T38" s="11" t="n"/>
      <c r="U38" s="16" t="n"/>
      <c r="V38" s="78" t="n"/>
      <c r="W38" s="78" t="n"/>
      <c r="X38" s="78" t="n"/>
      <c r="Y38" s="78" t="n"/>
      <c r="Z38" s="11" t="n"/>
      <c r="AA38" s="11" t="n"/>
      <c r="AB38" s="16" t="n"/>
      <c r="AC38" s="78" t="n"/>
      <c r="AD38" s="78" t="n"/>
      <c r="AE38" s="78" t="n"/>
      <c r="AF38" s="78" t="n"/>
      <c r="AG38" s="11" t="n"/>
      <c r="AH38" s="11" t="n"/>
      <c r="AI38" s="10" t="n"/>
      <c r="AJ38" s="78">
        <f>IF(COUNT(E38:AI38)=0,"",COUNT(E38:AI38))</f>
        <v/>
      </c>
      <c r="AK38" s="78">
        <f>IF(COUNT(E38:AI38)=0,"",SUM(E38:AI38))</f>
        <v/>
      </c>
    </row>
    <row r="39" ht="15" customHeight="1" thickBot="1">
      <c r="A39" s="78" t="n">
        <v>21</v>
      </c>
      <c r="B39" s="26" t="inlineStr">
        <is>
          <t>Султонов Абдуфаттох Назарович</t>
        </is>
      </c>
      <c r="C39" s="20" t="inlineStr">
        <is>
          <t>БСУ оператори</t>
        </is>
      </c>
      <c r="D39" s="19" t="inlineStr">
        <is>
          <t xml:space="preserve">Ишлаб чиқариш бўлими </t>
        </is>
      </c>
      <c r="E39" s="11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78">
        <f>IF(COUNT(E39:AI39)=0,"",COUNT(E39:AI39))</f>
        <v/>
      </c>
      <c r="AK39" s="78">
        <f>IF(COUNT(E39:AI39)=0,"",SUM(E39:AI39))</f>
        <v/>
      </c>
    </row>
    <row r="40" ht="15.75" customHeight="1" thickBot="1">
      <c r="A40" s="78" t="n">
        <v>22</v>
      </c>
      <c r="B40" s="26" t="inlineStr">
        <is>
          <t>Султонов Нуриддин Қурбоналиевич</t>
        </is>
      </c>
      <c r="C40" s="20" t="inlineStr">
        <is>
          <t>БСУ оператори</t>
        </is>
      </c>
      <c r="D40" s="19" t="inlineStr">
        <is>
          <t xml:space="preserve">Ишлаб чиқариш бўлими </t>
        </is>
      </c>
      <c r="E40" s="11" t="n"/>
      <c r="F40" s="11" t="n"/>
      <c r="G40" s="78" t="n"/>
      <c r="H40" s="78" t="n"/>
      <c r="I40" s="78" t="n"/>
      <c r="J40" s="78" t="n"/>
      <c r="K40" s="78" t="n"/>
      <c r="L40" s="11" t="n"/>
      <c r="M40" s="11" t="n"/>
      <c r="N40" s="78" t="n"/>
      <c r="O40" s="78" t="n"/>
      <c r="P40" s="78" t="n"/>
      <c r="Q40" s="78" t="n"/>
      <c r="R40" s="78" t="n"/>
      <c r="S40" s="11" t="n"/>
      <c r="T40" s="11" t="n"/>
      <c r="U40" s="16" t="n"/>
      <c r="V40" s="78" t="n"/>
      <c r="W40" s="16" t="n"/>
      <c r="X40" s="78" t="n"/>
      <c r="Y40" s="78" t="n"/>
      <c r="Z40" s="11" t="n"/>
      <c r="AA40" s="11" t="n"/>
      <c r="AB40" s="16" t="n"/>
      <c r="AC40" s="78" t="n"/>
      <c r="AD40" s="78" t="n"/>
      <c r="AE40" s="78" t="n"/>
      <c r="AF40" s="11" t="n"/>
      <c r="AG40" s="11" t="n"/>
      <c r="AH40" s="11" t="n"/>
      <c r="AI40" s="10" t="n"/>
      <c r="AJ40" s="78">
        <f>IF(COUNT(E40:AI40)=0,"",COUNT(E40:AI40))</f>
        <v/>
      </c>
      <c r="AK40" s="78">
        <f>IF(COUNT(E40:AI40)=0,"",SUM(E40:AI40))</f>
        <v/>
      </c>
    </row>
    <row r="41" ht="16.5" customHeight="1" thickBot="1">
      <c r="A41" s="78" t="n">
        <v>23</v>
      </c>
      <c r="B41" s="21" t="inlineStr">
        <is>
          <t xml:space="preserve"> Мўминов Жўрабек Тургунович</t>
        </is>
      </c>
      <c r="C41" s="20" t="inlineStr">
        <is>
          <t>БСУ оператори</t>
        </is>
      </c>
      <c r="D41" s="19" t="inlineStr">
        <is>
          <t xml:space="preserve">Ишлаб чиқариш бўлими </t>
        </is>
      </c>
      <c r="E41" s="11" t="n"/>
      <c r="F41" s="11" t="n"/>
      <c r="G41" s="78" t="n"/>
      <c r="H41" s="78" t="n"/>
      <c r="I41" s="78" t="n"/>
      <c r="J41" s="78" t="n"/>
      <c r="K41" s="78" t="n"/>
      <c r="L41" s="11" t="n"/>
      <c r="M41" s="11" t="n"/>
      <c r="N41" s="78" t="n"/>
      <c r="O41" s="11" t="n"/>
      <c r="P41" s="78" t="n"/>
      <c r="Q41" s="78" t="n"/>
      <c r="R41" s="78" t="n"/>
      <c r="S41" s="11" t="n"/>
      <c r="T41" s="11" t="n"/>
      <c r="U41" s="16" t="n"/>
      <c r="V41" s="78" t="n"/>
      <c r="W41" s="78" t="n"/>
      <c r="X41" s="78" t="n"/>
      <c r="Y41" s="78" t="n"/>
      <c r="Z41" s="11" t="n"/>
      <c r="AA41" s="11" t="n"/>
      <c r="AB41" s="16" t="n"/>
      <c r="AC41" s="78" t="n"/>
      <c r="AD41" s="78" t="n"/>
      <c r="AE41" s="78" t="n"/>
      <c r="AF41" s="78" t="n"/>
      <c r="AG41" s="11" t="n"/>
      <c r="AH41" s="11" t="n"/>
      <c r="AI41" s="10" t="n"/>
      <c r="AJ41" s="78">
        <f>IF(COUNT(E41:AI41)=0,"",COUNT(E41:AI41))</f>
        <v/>
      </c>
      <c r="AK41" s="78">
        <f>IF(COUNT(E41:AI41)=0,"",SUM(E41:AI41))</f>
        <v/>
      </c>
    </row>
    <row r="42" ht="15.75" customHeight="1" thickBot="1">
      <c r="A42" s="78" t="n">
        <v>24</v>
      </c>
      <c r="B42" s="25" t="inlineStr">
        <is>
          <t>Каландаров Холмурод Холбобоевич</t>
        </is>
      </c>
      <c r="C42" s="20" t="inlineStr">
        <is>
          <t>Кран машинист</t>
        </is>
      </c>
      <c r="D42" s="19" t="inlineStr">
        <is>
          <t xml:space="preserve">Ишлаб чиқариш бўлими </t>
        </is>
      </c>
      <c r="E42" s="11" t="n"/>
      <c r="F42" s="11" t="n"/>
      <c r="G42" s="78" t="n"/>
      <c r="H42" s="16" t="n"/>
      <c r="I42" s="78" t="n"/>
      <c r="J42" s="11" t="n"/>
      <c r="K42" s="78" t="n"/>
      <c r="L42" s="11" t="n"/>
      <c r="M42" s="11" t="n"/>
      <c r="N42" s="78" t="n"/>
      <c r="O42" s="11" t="n"/>
      <c r="P42" s="11" t="n"/>
      <c r="Q42" s="11" t="n"/>
      <c r="R42" s="11" t="n"/>
      <c r="S42" s="11" t="n"/>
      <c r="T42" s="11" t="n"/>
      <c r="U42" s="16" t="n"/>
      <c r="V42" s="16" t="n"/>
      <c r="W42" s="78" t="n"/>
      <c r="X42" s="16" t="n"/>
      <c r="Y42" s="16" t="n"/>
      <c r="Z42" s="11" t="n"/>
      <c r="AA42" s="11" t="n"/>
      <c r="AB42" s="16" t="n"/>
      <c r="AC42" s="78" t="n"/>
      <c r="AD42" s="78" t="n"/>
      <c r="AE42" s="78" t="n"/>
      <c r="AF42" s="78" t="n"/>
      <c r="AG42" s="11" t="n"/>
      <c r="AH42" s="11" t="n"/>
      <c r="AI42" s="10" t="n"/>
      <c r="AJ42" s="78">
        <f>IF(COUNT(E42:AI42)=0,"",COUNT(E42:AI42))</f>
        <v/>
      </c>
      <c r="AK42" s="78">
        <f>IF(COUNT(E42:AI42)=0,"",SUM(E42:AI42))</f>
        <v/>
      </c>
    </row>
    <row r="43" ht="17.25" customHeight="1" thickBot="1">
      <c r="A43" s="78" t="n">
        <v>25</v>
      </c>
      <c r="B43" s="26" t="inlineStr">
        <is>
          <t>Ниёзов Сирожиддин Файзиддинович</t>
        </is>
      </c>
      <c r="C43" s="20" t="inlineStr">
        <is>
          <t>Кран машинист</t>
        </is>
      </c>
      <c r="D43" s="19" t="inlineStr">
        <is>
          <t xml:space="preserve">Ишлаб чиқариш бўлими </t>
        </is>
      </c>
      <c r="E43" s="11" t="n"/>
      <c r="F43" s="11" t="n"/>
      <c r="G43" s="78" t="n"/>
      <c r="H43" s="78" t="n"/>
      <c r="I43" s="78" t="n"/>
      <c r="J43" s="78" t="n"/>
      <c r="K43" s="78" t="n"/>
      <c r="L43" s="11" t="n"/>
      <c r="M43" s="11" t="n"/>
      <c r="N43" s="78" t="n"/>
      <c r="O43" s="78" t="n"/>
      <c r="P43" s="78" t="n"/>
      <c r="Q43" s="78" t="n"/>
      <c r="R43" s="78" t="n"/>
      <c r="S43" s="11" t="n"/>
      <c r="T43" s="11" t="n"/>
      <c r="U43" s="16" t="n"/>
      <c r="V43" s="78" t="n"/>
      <c r="W43" s="78" t="n"/>
      <c r="X43" s="16" t="n"/>
      <c r="Y43" s="78" t="n"/>
      <c r="Z43" s="11" t="n"/>
      <c r="AA43" s="11" t="n"/>
      <c r="AB43" s="16" t="n"/>
      <c r="AC43" s="78" t="n"/>
      <c r="AD43" s="78" t="n"/>
      <c r="AE43" s="78" t="n"/>
      <c r="AF43" s="78" t="n"/>
      <c r="AG43" s="11" t="n"/>
      <c r="AH43" s="11" t="n"/>
      <c r="AI43" s="10" t="n"/>
      <c r="AJ43" s="78">
        <f>IF(COUNT(E43:AI43)=0,"",COUNT(E43:AI43))</f>
        <v/>
      </c>
      <c r="AK43" s="78">
        <f>IF(COUNT(E43:AI43)=0,"",SUM(E43:AI43))</f>
        <v/>
      </c>
    </row>
    <row r="44" ht="15.75" customHeight="1" thickBot="1">
      <c r="A44" s="78" t="n">
        <v>26</v>
      </c>
      <c r="B44" s="26" t="inlineStr">
        <is>
          <t>Шодиев Иззат Саид ўғли</t>
        </is>
      </c>
      <c r="C44" s="20" t="inlineStr">
        <is>
          <t>Сварщик</t>
        </is>
      </c>
      <c r="D44" s="19" t="inlineStr">
        <is>
          <t xml:space="preserve">Ишлаб чиқариш бўлими </t>
        </is>
      </c>
      <c r="E44" s="11" t="n"/>
      <c r="F44" s="11" t="n"/>
      <c r="G44" s="78" t="n"/>
      <c r="H44" s="78" t="n"/>
      <c r="I44" s="78" t="n"/>
      <c r="J44" s="78" t="n"/>
      <c r="K44" s="78" t="n"/>
      <c r="L44" s="11" t="n"/>
      <c r="M44" s="11" t="n"/>
      <c r="N44" s="78" t="n"/>
      <c r="O44" s="78" t="n"/>
      <c r="P44" s="17" t="n"/>
      <c r="Q44" s="17" t="n"/>
      <c r="R44" s="78" t="n"/>
      <c r="S44" s="11" t="n"/>
      <c r="T44" s="11" t="n"/>
      <c r="U44" s="16" t="n"/>
      <c r="V44" s="78" t="n"/>
      <c r="W44" s="78" t="n"/>
      <c r="X44" s="78" t="n"/>
      <c r="Y44" s="78" t="n"/>
      <c r="Z44" s="11" t="n"/>
      <c r="AA44" s="11" t="n"/>
      <c r="AB44" s="16" t="n"/>
      <c r="AC44" s="11" t="n"/>
      <c r="AD44" s="78" t="n"/>
      <c r="AE44" s="78" t="n"/>
      <c r="AF44" s="78" t="n"/>
      <c r="AG44" s="11" t="n"/>
      <c r="AH44" s="11" t="n"/>
      <c r="AI44" s="10" t="n"/>
      <c r="AJ44" s="78">
        <f>IF(COUNT(E44:AI44)=0,"",COUNT(E44:AI44))</f>
        <v/>
      </c>
      <c r="AK44" s="78">
        <f>IF(COUNT(E44:AI44)=0,"",SUM(E44:AI44))</f>
        <v/>
      </c>
    </row>
    <row r="45" ht="15" customHeight="1" thickBot="1">
      <c r="A45" s="78" t="n">
        <v>27</v>
      </c>
      <c r="B45" s="26" t="inlineStr">
        <is>
          <t>Рўзиқулов Шахбоз Ҳусан ўғли</t>
        </is>
      </c>
      <c r="C45" s="20" t="inlineStr">
        <is>
          <t>Сварщик</t>
        </is>
      </c>
      <c r="D45" s="19" t="inlineStr">
        <is>
          <t xml:space="preserve">Ишлаб чиқариш бўлими </t>
        </is>
      </c>
      <c r="E45" s="11" t="n"/>
      <c r="F45" s="11" t="n"/>
      <c r="G45" s="78" t="n"/>
      <c r="H45" s="78" t="n"/>
      <c r="I45" s="78" t="n"/>
      <c r="J45" s="78" t="n"/>
      <c r="K45" s="78" t="n"/>
      <c r="L45" s="11" t="n"/>
      <c r="M45" s="11" t="n"/>
      <c r="N45" s="78" t="n"/>
      <c r="O45" s="78" t="n"/>
      <c r="P45" s="17" t="n"/>
      <c r="Q45" s="17" t="n"/>
      <c r="R45" s="78" t="n"/>
      <c r="S45" s="11" t="n"/>
      <c r="T45" s="11" t="n"/>
      <c r="U45" s="16" t="n"/>
      <c r="V45" s="78" t="n"/>
      <c r="W45" s="78" t="n"/>
      <c r="X45" s="78" t="n"/>
      <c r="Y45" s="78" t="n"/>
      <c r="Z45" s="11" t="n"/>
      <c r="AA45" s="11" t="n"/>
      <c r="AB45" s="16" t="n"/>
      <c r="AC45" s="78" t="n"/>
      <c r="AD45" s="78" t="n"/>
      <c r="AE45" s="78" t="n"/>
      <c r="AF45" s="78" t="n"/>
      <c r="AG45" s="11" t="n"/>
      <c r="AH45" s="11" t="n"/>
      <c r="AI45" s="10" t="n"/>
      <c r="AJ45" s="78">
        <f>IF(COUNT(E45:AI45)=0,"",COUNT(E45:AI45))</f>
        <v/>
      </c>
      <c r="AK45" s="78">
        <f>IF(COUNT(E45:AI45)=0,"",SUM(E45:AI45))</f>
        <v/>
      </c>
    </row>
    <row r="46" ht="13.5" customHeight="1" thickBot="1">
      <c r="A46" s="78" t="n">
        <v>28</v>
      </c>
      <c r="B46" s="25" t="inlineStr">
        <is>
          <t xml:space="preserve">Назиров Валижон Махамадиевич </t>
        </is>
      </c>
      <c r="C46" s="20" t="inlineStr">
        <is>
          <t>Сварщик</t>
        </is>
      </c>
      <c r="D46" s="19" t="inlineStr">
        <is>
          <t xml:space="preserve">Ишлаб чиқариш бўлими </t>
        </is>
      </c>
      <c r="E46" s="11" t="n"/>
      <c r="F46" s="11" t="n"/>
      <c r="G46" s="78" t="n"/>
      <c r="H46" s="78" t="n"/>
      <c r="I46" s="78" t="n"/>
      <c r="J46" s="78" t="n"/>
      <c r="K46" s="78" t="n"/>
      <c r="L46" s="11" t="n"/>
      <c r="M46" s="11" t="n"/>
      <c r="N46" s="78" t="n"/>
      <c r="O46" s="78" t="n"/>
      <c r="P46" s="78" t="n"/>
      <c r="Q46" s="78" t="n"/>
      <c r="R46" s="78" t="n"/>
      <c r="S46" s="11" t="n"/>
      <c r="T46" s="11" t="n"/>
      <c r="U46" s="16" t="n"/>
      <c r="V46" s="78" t="n"/>
      <c r="W46" s="78" t="n"/>
      <c r="X46" s="78" t="n"/>
      <c r="Y46" s="78" t="n"/>
      <c r="Z46" s="11" t="n"/>
      <c r="AA46" s="11" t="n"/>
      <c r="AB46" s="16" t="n"/>
      <c r="AC46" s="78" t="n"/>
      <c r="AD46" s="78" t="n"/>
      <c r="AE46" s="78" t="n"/>
      <c r="AF46" s="78" t="n"/>
      <c r="AG46" s="11" t="n"/>
      <c r="AH46" s="11" t="n"/>
      <c r="AI46" s="10" t="n"/>
      <c r="AJ46" s="78">
        <f>IF(COUNT(E46:AI46)=0,"",COUNT(E46:AI46))</f>
        <v/>
      </c>
      <c r="AK46" s="78">
        <f>IF(COUNT(E46:AI46)=0,"",SUM(E46:AI46))</f>
        <v/>
      </c>
    </row>
    <row r="47" ht="13.5" customHeight="1" thickBot="1">
      <c r="A47" s="78" t="n">
        <v>29</v>
      </c>
      <c r="B47" s="25" t="inlineStr">
        <is>
          <t>Каримов Абрулло  Исматович</t>
        </is>
      </c>
      <c r="C47" s="20" t="inlineStr">
        <is>
          <t>Сварщик</t>
        </is>
      </c>
      <c r="D47" s="19" t="inlineStr">
        <is>
          <t xml:space="preserve">Ишлаб чиқариш бўлими </t>
        </is>
      </c>
      <c r="E47" s="11" t="n"/>
      <c r="F47" s="11" t="n"/>
      <c r="G47" s="78" t="n"/>
      <c r="H47" s="78" t="n"/>
      <c r="I47" s="78" t="n"/>
      <c r="J47" s="78" t="n"/>
      <c r="K47" s="78" t="n"/>
      <c r="L47" s="11" t="n"/>
      <c r="M47" s="11" t="n"/>
      <c r="N47" s="78" t="n"/>
      <c r="O47" s="78" t="n"/>
      <c r="P47" s="78" t="n"/>
      <c r="Q47" s="78" t="n"/>
      <c r="R47" s="78" t="n"/>
      <c r="S47" s="11" t="n"/>
      <c r="T47" s="11" t="n"/>
      <c r="U47" s="16" t="n"/>
      <c r="V47" s="78" t="n"/>
      <c r="W47" s="78" t="n"/>
      <c r="X47" s="78" t="n"/>
      <c r="Y47" s="78" t="n"/>
      <c r="Z47" s="11" t="n"/>
      <c r="AA47" s="11" t="n"/>
      <c r="AB47" s="16" t="n"/>
      <c r="AC47" s="78" t="n"/>
      <c r="AD47" s="78" t="n"/>
      <c r="AE47" s="78" t="n"/>
      <c r="AF47" s="78" t="n"/>
      <c r="AG47" s="11" t="n"/>
      <c r="AH47" s="11" t="n"/>
      <c r="AI47" s="10" t="n"/>
      <c r="AJ47" s="78">
        <f>IF(COUNT(E47:AI47)=0,"",COUNT(E47:AI47))</f>
        <v/>
      </c>
      <c r="AK47" s="78">
        <f>IF(COUNT(E47:AI47)=0,"",SUM(E47:AI47))</f>
        <v/>
      </c>
    </row>
    <row r="48" ht="14.25" customHeight="1" thickBot="1">
      <c r="A48" s="78" t="n">
        <v>30</v>
      </c>
      <c r="B48" s="25" t="inlineStr">
        <is>
          <t>Худойдотов Бахтиёр Сафарович</t>
        </is>
      </c>
      <c r="C48" s="20" t="inlineStr">
        <is>
          <t>Сварщик</t>
        </is>
      </c>
      <c r="D48" s="19" t="inlineStr">
        <is>
          <t xml:space="preserve">Ишлаб чиқариш бўлими </t>
        </is>
      </c>
      <c r="E48" s="11" t="n"/>
      <c r="F48" s="11" t="n"/>
      <c r="G48" s="78" t="n"/>
      <c r="H48" s="78" t="n"/>
      <c r="I48" s="78" t="n"/>
      <c r="J48" s="78" t="n"/>
      <c r="K48" s="78" t="n"/>
      <c r="L48" s="11" t="n"/>
      <c r="M48" s="11" t="n"/>
      <c r="N48" s="78" t="n"/>
      <c r="O48" s="78" t="n"/>
      <c r="P48" s="78" t="n"/>
      <c r="Q48" s="78" t="n"/>
      <c r="R48" s="78" t="n"/>
      <c r="S48" s="11" t="n"/>
      <c r="T48" s="11" t="n"/>
      <c r="U48" s="16" t="n"/>
      <c r="V48" s="78" t="n"/>
      <c r="W48" s="78" t="n"/>
      <c r="X48" s="78" t="n"/>
      <c r="Y48" s="78" t="n"/>
      <c r="Z48" s="11" t="n"/>
      <c r="AA48" s="11" t="n"/>
      <c r="AB48" s="16" t="n"/>
      <c r="AC48" s="78" t="n"/>
      <c r="AD48" s="78" t="n"/>
      <c r="AE48" s="78" t="n"/>
      <c r="AF48" s="78" t="n"/>
      <c r="AG48" s="11" t="n"/>
      <c r="AH48" s="11" t="n"/>
      <c r="AI48" s="10" t="n"/>
      <c r="AJ48" s="78">
        <f>IF(COUNT(E48:AI48)=0,"",COUNT(E48:AI48))</f>
        <v/>
      </c>
      <c r="AK48" s="78">
        <f>IF(COUNT(E48:AI48)=0,"",SUM(E48:AI48))</f>
        <v/>
      </c>
    </row>
    <row r="49" ht="15" customHeight="1" thickBot="1">
      <c r="A49" s="78" t="n">
        <v>31</v>
      </c>
      <c r="B49" s="25" t="inlineStr">
        <is>
          <t>Ахмедов Жахонгир Алишерович</t>
        </is>
      </c>
      <c r="C49" s="20" t="inlineStr">
        <is>
          <t>Сварщик</t>
        </is>
      </c>
      <c r="D49" s="19" t="inlineStr">
        <is>
          <t xml:space="preserve">Ишлаб чиқариш бўлими </t>
        </is>
      </c>
      <c r="E49" s="11" t="n"/>
      <c r="F49" s="11" t="n"/>
      <c r="G49" s="78" t="n"/>
      <c r="H49" s="78" t="n"/>
      <c r="I49" s="78" t="n"/>
      <c r="J49" s="78" t="n"/>
      <c r="K49" s="78" t="n"/>
      <c r="L49" s="11" t="n"/>
      <c r="M49" s="11" t="n"/>
      <c r="N49" s="78" t="n"/>
      <c r="O49" s="78" t="n"/>
      <c r="P49" s="78" t="n"/>
      <c r="Q49" s="78" t="n"/>
      <c r="R49" s="78" t="n"/>
      <c r="S49" s="11" t="n"/>
      <c r="T49" s="11" t="n"/>
      <c r="U49" s="16" t="n"/>
      <c r="V49" s="78" t="n"/>
      <c r="W49" s="78" t="n"/>
      <c r="X49" s="78" t="n"/>
      <c r="Y49" s="78" t="n"/>
      <c r="Z49" s="11" t="n"/>
      <c r="AA49" s="11" t="n"/>
      <c r="AB49" s="16" t="n"/>
      <c r="AC49" s="78" t="n"/>
      <c r="AD49" s="78" t="n"/>
      <c r="AE49" s="78" t="n"/>
      <c r="AF49" s="78" t="n"/>
      <c r="AG49" s="11" t="n"/>
      <c r="AH49" s="11" t="n"/>
      <c r="AI49" s="10" t="n"/>
      <c r="AJ49" s="78">
        <f>IF(COUNT(E49:AI49)=0,"",COUNT(E49:AI49))</f>
        <v/>
      </c>
      <c r="AK49" s="78">
        <f>IF(COUNT(E49:AI49)=0,"",SUM(E49:AI49))</f>
        <v/>
      </c>
    </row>
    <row r="50" ht="16.5" customHeight="1" thickBot="1">
      <c r="A50" s="78" t="n">
        <v>32</v>
      </c>
      <c r="B50" s="25" t="inlineStr">
        <is>
          <t>Ходжаев Курбонали Йулдошевич</t>
        </is>
      </c>
      <c r="C50" s="20" t="inlineStr">
        <is>
          <t>Бетончи</t>
        </is>
      </c>
      <c r="D50" s="19" t="inlineStr">
        <is>
          <t xml:space="preserve">Ишлаб чиқариш бўлими </t>
        </is>
      </c>
      <c r="E50" s="11" t="n"/>
      <c r="F50" s="11" t="n"/>
      <c r="G50" s="78" t="n"/>
      <c r="H50" s="16" t="n"/>
      <c r="I50" s="78" t="n"/>
      <c r="J50" s="78" t="n"/>
      <c r="K50" s="78" t="n"/>
      <c r="L50" s="11" t="n"/>
      <c r="M50" s="11" t="n"/>
      <c r="N50" s="78" t="n"/>
      <c r="O50" s="78" t="n"/>
      <c r="P50" s="16" t="n"/>
      <c r="Q50" s="16" t="n"/>
      <c r="R50" s="78" t="n"/>
      <c r="S50" s="11" t="n"/>
      <c r="T50" s="11" t="n"/>
      <c r="U50" s="16" t="n"/>
      <c r="V50" s="78" t="n"/>
      <c r="W50" s="16" t="n"/>
      <c r="X50" s="16" t="n"/>
      <c r="Y50" s="78" t="n"/>
      <c r="Z50" s="11" t="n"/>
      <c r="AA50" s="11" t="n"/>
      <c r="AB50" s="16" t="n"/>
      <c r="AC50" s="78" t="n"/>
      <c r="AD50" s="78" t="n"/>
      <c r="AE50" s="78" t="n"/>
      <c r="AF50" s="78" t="n"/>
      <c r="AG50" s="11" t="n"/>
      <c r="AH50" s="11" t="n"/>
      <c r="AI50" s="10" t="n"/>
      <c r="AJ50" s="78">
        <f>IF(COUNT(E50:AI50)=0,"",COUNT(E50:AI50))</f>
        <v/>
      </c>
      <c r="AK50" s="78">
        <f>IF(COUNT(E50:AI50)=0,"",SUM(E50:AI50))</f>
        <v/>
      </c>
    </row>
    <row r="51" ht="15.75" customHeight="1" thickBot="1">
      <c r="A51" s="78" t="n">
        <v>33</v>
      </c>
      <c r="B51" s="25" t="inlineStr">
        <is>
          <t>Кучкаров Эркин Хасанович</t>
        </is>
      </c>
      <c r="C51" s="20" t="inlineStr">
        <is>
          <t>Бетончи</t>
        </is>
      </c>
      <c r="D51" s="19" t="inlineStr">
        <is>
          <t xml:space="preserve">Ишлаб чиқариш бўлими </t>
        </is>
      </c>
      <c r="E51" s="11" t="n"/>
      <c r="F51" s="11" t="n"/>
      <c r="G51" s="78" t="n"/>
      <c r="H51" s="78" t="n"/>
      <c r="I51" s="78" t="n"/>
      <c r="J51" s="78" t="n"/>
      <c r="K51" s="78" t="n"/>
      <c r="L51" s="11" t="n"/>
      <c r="M51" s="11" t="n"/>
      <c r="N51" s="78" t="n"/>
      <c r="O51" s="11" t="n"/>
      <c r="P51" s="78" t="n"/>
      <c r="Q51" s="78" t="n"/>
      <c r="R51" s="78" t="n"/>
      <c r="S51" s="11" t="n"/>
      <c r="T51" s="11" t="n"/>
      <c r="U51" s="16" t="n"/>
      <c r="V51" s="78" t="n"/>
      <c r="W51" s="78" t="n"/>
      <c r="X51" s="78" t="n"/>
      <c r="Y51" s="78" t="n"/>
      <c r="Z51" s="11" t="n"/>
      <c r="AA51" s="11" t="n"/>
      <c r="AB51" s="16" t="n"/>
      <c r="AC51" s="78" t="n"/>
      <c r="AD51" s="78" t="n"/>
      <c r="AE51" s="78" t="n"/>
      <c r="AF51" s="78" t="n"/>
      <c r="AG51" s="11" t="n"/>
      <c r="AH51" s="11" t="n"/>
      <c r="AI51" s="10" t="n"/>
      <c r="AJ51" s="78">
        <f>IF(COUNT(E51:AI51)=0,"",COUNT(E51:AI51))</f>
        <v/>
      </c>
      <c r="AK51" s="78">
        <f>IF(COUNT(E51:AI51)=0,"",SUM(E51:AI51))</f>
        <v/>
      </c>
    </row>
    <row r="52" ht="15" customHeight="1" thickBot="1">
      <c r="A52" s="78" t="n">
        <v>34</v>
      </c>
      <c r="B52" s="25" t="inlineStr">
        <is>
          <t>Юсупов Холназар Базарович</t>
        </is>
      </c>
      <c r="C52" s="20" t="inlineStr">
        <is>
          <t>Бетончи</t>
        </is>
      </c>
      <c r="D52" s="19" t="inlineStr">
        <is>
          <t xml:space="preserve">Ишлаб чиқариш бўлими </t>
        </is>
      </c>
      <c r="E52" s="11" t="n"/>
      <c r="F52" s="11" t="n"/>
      <c r="G52" s="78" t="n"/>
      <c r="H52" s="78" t="n"/>
      <c r="I52" s="11" t="n"/>
      <c r="J52" s="78" t="n"/>
      <c r="K52" s="78" t="n"/>
      <c r="L52" s="11" t="n"/>
      <c r="M52" s="11" t="n"/>
      <c r="N52" s="78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0" t="n"/>
      <c r="AJ52" s="78">
        <f>IF(COUNT(E52:AI52)=0,"",COUNT(E52:AI52))</f>
        <v/>
      </c>
      <c r="AK52" s="78">
        <f>IF(COUNT(E52:AI52)=0,"",SUM(E52:AI52))</f>
        <v/>
      </c>
    </row>
    <row r="53" ht="15" customHeight="1" thickBot="1">
      <c r="A53" s="78" t="n">
        <v>35</v>
      </c>
      <c r="B53" s="24" t="inlineStr">
        <is>
          <t>Аминов Камолиддин Лутфиддинович</t>
        </is>
      </c>
      <c r="C53" s="23" t="inlineStr">
        <is>
          <t>Бетончи</t>
        </is>
      </c>
      <c r="D53" s="19" t="inlineStr">
        <is>
          <t xml:space="preserve">Ишлаб чиқариш бўлими </t>
        </is>
      </c>
      <c r="E53" s="11" t="n"/>
      <c r="F53" s="11" t="n"/>
      <c r="G53" s="78" t="n"/>
      <c r="H53" s="78" t="n"/>
      <c r="I53" s="78" t="n"/>
      <c r="J53" s="78" t="n"/>
      <c r="K53" s="78" t="n"/>
      <c r="L53" s="11" t="n"/>
      <c r="M53" s="11" t="n"/>
      <c r="N53" s="78" t="n"/>
      <c r="O53" s="11" t="n"/>
      <c r="P53" s="16" t="n"/>
      <c r="Q53" s="16" t="n"/>
      <c r="R53" s="78" t="n"/>
      <c r="S53" s="11" t="n"/>
      <c r="T53" s="11" t="n"/>
      <c r="U53" s="16" t="n"/>
      <c r="V53" s="78" t="n"/>
      <c r="W53" s="78" t="n"/>
      <c r="X53" s="78" t="n"/>
      <c r="Y53" s="78" t="n"/>
      <c r="Z53" s="11" t="n"/>
      <c r="AA53" s="11" t="n"/>
      <c r="AB53" s="16" t="n"/>
      <c r="AC53" s="78" t="n"/>
      <c r="AD53" s="78" t="n"/>
      <c r="AE53" s="78" t="n"/>
      <c r="AF53" s="78" t="n"/>
      <c r="AG53" s="11" t="n"/>
      <c r="AH53" s="11" t="n"/>
      <c r="AI53" s="10" t="n"/>
      <c r="AJ53" s="78">
        <f>IF(COUNT(E53:AI53)=0,"",COUNT(E53:AI53))</f>
        <v/>
      </c>
      <c r="AK53" s="78">
        <f>IF(COUNT(E53:AI53)=0,"",SUM(E53:AI53))</f>
        <v/>
      </c>
    </row>
    <row r="54" ht="14.25" customHeight="1" thickBot="1">
      <c r="A54" s="78" t="n">
        <v>36</v>
      </c>
      <c r="B54" s="21" t="inlineStr">
        <is>
          <t>Фармонов  Шерзод Нурманович</t>
        </is>
      </c>
      <c r="C54" s="23" t="inlineStr">
        <is>
          <t>Бетончи</t>
        </is>
      </c>
      <c r="D54" s="19" t="inlineStr">
        <is>
          <t xml:space="preserve">Ишлаб чиқариш бўлими </t>
        </is>
      </c>
      <c r="E54" s="11" t="n"/>
      <c r="F54" s="11" t="n"/>
      <c r="G54" s="78" t="n"/>
      <c r="H54" s="16" t="n"/>
      <c r="I54" s="78" t="n"/>
      <c r="J54" s="78" t="n"/>
      <c r="K54" s="78" t="n"/>
      <c r="L54" s="11" t="n"/>
      <c r="M54" s="11" t="n"/>
      <c r="N54" s="78" t="n"/>
      <c r="O54" s="78" t="n"/>
      <c r="P54" s="78" t="n"/>
      <c r="Q54" s="78" t="n"/>
      <c r="R54" s="78" t="n"/>
      <c r="S54" s="11" t="n"/>
      <c r="T54" s="11" t="n"/>
      <c r="U54" s="16" t="n"/>
      <c r="V54" s="78" t="n"/>
      <c r="W54" s="16" t="n"/>
      <c r="X54" s="16" t="n"/>
      <c r="Y54" s="78" t="n"/>
      <c r="Z54" s="11" t="n"/>
      <c r="AA54" s="11" t="n"/>
      <c r="AB54" s="16" t="n"/>
      <c r="AC54" s="78" t="n"/>
      <c r="AD54" s="78" t="n"/>
      <c r="AE54" s="78" t="n"/>
      <c r="AF54" s="11" t="n"/>
      <c r="AG54" s="11" t="n"/>
      <c r="AH54" s="11" t="n"/>
      <c r="AI54" s="10" t="n"/>
      <c r="AJ54" s="78">
        <f>IF(COUNT(E54:AI54)=0,"",COUNT(E54:AI54))</f>
        <v/>
      </c>
      <c r="AK54" s="78">
        <f>IF(COUNT(E54:AI54)=0,"",SUM(E54:AI54))</f>
        <v/>
      </c>
    </row>
    <row r="55" ht="15" customHeight="1" thickBot="1">
      <c r="A55" s="78" t="n">
        <v>37</v>
      </c>
      <c r="B55" s="21" t="inlineStr">
        <is>
          <t xml:space="preserve">Насриддинов Химматилло Нусратуллаевич </t>
        </is>
      </c>
      <c r="C55" s="23" t="inlineStr">
        <is>
          <t>Бетончи</t>
        </is>
      </c>
      <c r="D55" s="19" t="inlineStr">
        <is>
          <t>Ишлаб чиқариш бўлими №1</t>
        </is>
      </c>
      <c r="E55" s="11" t="n"/>
      <c r="F55" s="11" t="n"/>
      <c r="G55" s="78" t="n"/>
      <c r="H55" s="78" t="n"/>
      <c r="I55" s="78" t="n"/>
      <c r="J55" s="78" t="n"/>
      <c r="K55" s="78" t="n"/>
      <c r="L55" s="11" t="n"/>
      <c r="M55" s="11" t="n"/>
      <c r="N55" s="78" t="n"/>
      <c r="O55" s="78" t="n"/>
      <c r="P55" s="16" t="n"/>
      <c r="Q55" s="16" t="n"/>
      <c r="R55" s="78" t="n"/>
      <c r="S55" s="11" t="n"/>
      <c r="T55" s="11" t="n"/>
      <c r="U55" s="16" t="n"/>
      <c r="V55" s="78" t="n"/>
      <c r="W55" s="78" t="n"/>
      <c r="X55" s="78" t="n"/>
      <c r="Y55" s="78" t="n"/>
      <c r="Z55" s="11" t="n"/>
      <c r="AA55" s="11" t="n"/>
      <c r="AB55" s="16" t="n"/>
      <c r="AC55" s="78" t="n"/>
      <c r="AD55" s="78" t="n"/>
      <c r="AE55" s="78" t="n"/>
      <c r="AF55" s="78" t="n"/>
      <c r="AG55" s="11" t="n"/>
      <c r="AH55" s="11" t="n"/>
      <c r="AI55" s="10" t="n"/>
      <c r="AJ55" s="78">
        <f>IF(COUNT(E55:AI55)=0,"",COUNT(E55:AI55))</f>
        <v/>
      </c>
      <c r="AK55" s="78">
        <f>IF(COUNT(E55:AI55)=0,"",SUM(E55:AI55))</f>
        <v/>
      </c>
    </row>
    <row r="56" ht="15.75" customHeight="1" thickBot="1">
      <c r="A56" s="78" t="n">
        <v>38</v>
      </c>
      <c r="B56" s="21" t="inlineStr">
        <is>
          <t>Шодиев Саид Чориевич</t>
        </is>
      </c>
      <c r="C56" s="22" t="inlineStr">
        <is>
          <t>Бетончи</t>
        </is>
      </c>
      <c r="D56" s="19" t="inlineStr">
        <is>
          <t xml:space="preserve">Ишлаб чиқариш бўлими </t>
        </is>
      </c>
      <c r="E56" s="11" t="n"/>
      <c r="F56" s="11" t="n"/>
      <c r="G56" s="78" t="n"/>
      <c r="H56" s="78" t="n"/>
      <c r="I56" s="78" t="n"/>
      <c r="J56" s="18" t="n"/>
      <c r="K56" s="78" t="n"/>
      <c r="L56" s="11" t="n"/>
      <c r="M56" s="11" t="n"/>
      <c r="N56" s="78" t="n"/>
      <c r="O56" s="78" t="n"/>
      <c r="P56" s="17" t="n"/>
      <c r="Q56" s="17" t="n"/>
      <c r="R56" s="78" t="n"/>
      <c r="S56" s="11" t="n"/>
      <c r="T56" s="11" t="n"/>
      <c r="U56" s="16" t="n"/>
      <c r="V56" s="78" t="n"/>
      <c r="W56" s="16" t="n"/>
      <c r="X56" s="16" t="n"/>
      <c r="Y56" s="78" t="n"/>
      <c r="Z56" s="11" t="n"/>
      <c r="AA56" s="11" t="n"/>
      <c r="AB56" s="16" t="n"/>
      <c r="AC56" s="78" t="n"/>
      <c r="AD56" s="78" t="n"/>
      <c r="AE56" s="78" t="n"/>
      <c r="AF56" s="78" t="n"/>
      <c r="AG56" s="11" t="n"/>
      <c r="AH56" s="11" t="n"/>
      <c r="AI56" s="10" t="n"/>
      <c r="AJ56" s="78">
        <f>IF(COUNT(E56:AI56)=0,"",COUNT(E56:AI56))</f>
        <v/>
      </c>
      <c r="AK56" s="78">
        <f>IF(COUNT(E56:AI56)=0,"",SUM(E56:AI56))</f>
        <v/>
      </c>
    </row>
    <row r="57" ht="16.5" customHeight="1" thickBot="1">
      <c r="A57" s="78" t="n">
        <v>39</v>
      </c>
      <c r="B57" s="21" t="inlineStr">
        <is>
          <t>Шодиев Охунжон Саид ўғли</t>
        </is>
      </c>
      <c r="C57" s="20" t="inlineStr">
        <is>
          <t>Бетончи</t>
        </is>
      </c>
      <c r="D57" s="19" t="inlineStr">
        <is>
          <t xml:space="preserve">Ишлаб чиқариш бўлими </t>
        </is>
      </c>
      <c r="E57" s="11" t="n"/>
      <c r="F57" s="11" t="n"/>
      <c r="G57" s="78" t="n"/>
      <c r="H57" s="78" t="n"/>
      <c r="I57" s="78" t="n"/>
      <c r="J57" s="18" t="n"/>
      <c r="K57" s="78" t="n"/>
      <c r="L57" s="11" t="n"/>
      <c r="M57" s="11" t="n"/>
      <c r="N57" s="78" t="n"/>
      <c r="O57" s="78" t="n"/>
      <c r="P57" s="17" t="n"/>
      <c r="Q57" s="17" t="n"/>
      <c r="R57" s="78" t="n"/>
      <c r="S57" s="11" t="n"/>
      <c r="T57" s="11" t="n"/>
      <c r="U57" s="16" t="n"/>
      <c r="V57" s="78" t="n"/>
      <c r="W57" s="78" t="n"/>
      <c r="X57" s="78" t="n"/>
      <c r="Y57" s="78" t="n"/>
      <c r="Z57" s="11" t="n"/>
      <c r="AA57" s="11" t="n"/>
      <c r="AB57" s="16" t="n"/>
      <c r="AC57" s="78" t="n"/>
      <c r="AD57" s="78" t="n"/>
      <c r="AE57" s="78" t="n"/>
      <c r="AF57" s="78" t="n"/>
      <c r="AG57" s="11" t="n"/>
      <c r="AH57" s="11" t="n"/>
      <c r="AI57" s="10" t="n"/>
      <c r="AJ57" s="78">
        <f>IF(COUNT(E57:AI57)=0,"",COUNT(E57:AI57))</f>
        <v/>
      </c>
      <c r="AK57" s="78">
        <f>IF(COUNT(E57:AI57)=0,"",SUM(E57:AI57))</f>
        <v/>
      </c>
    </row>
    <row r="58">
      <c r="A58" s="15" t="n"/>
      <c r="B58" s="14" t="n"/>
      <c r="C58" s="13" t="n"/>
      <c r="D58" s="9" t="n"/>
      <c r="E58" s="10" t="n"/>
      <c r="F58" s="11" t="n"/>
      <c r="G58" s="11" t="n"/>
      <c r="H58" s="9" t="n"/>
      <c r="I58" s="9" t="n"/>
      <c r="J58" s="2" t="n"/>
      <c r="K58" s="9" t="n"/>
      <c r="L58" s="10" t="n"/>
      <c r="M58" s="11" t="n"/>
      <c r="N58" s="11" t="n"/>
      <c r="O58" s="78" t="n"/>
      <c r="P58" s="9" t="n"/>
      <c r="Q58" s="9" t="n"/>
      <c r="R58" s="9" t="n"/>
      <c r="S58" s="10" t="n"/>
      <c r="T58" s="11" t="n"/>
      <c r="U58" s="11" t="n"/>
      <c r="V58" s="9" t="n"/>
      <c r="W58" s="9" t="n"/>
      <c r="X58" s="9" t="n"/>
      <c r="Y58" s="9" t="n"/>
      <c r="Z58" s="10" t="n"/>
      <c r="AA58" s="11" t="n"/>
      <c r="AB58" s="11" t="n"/>
      <c r="AC58" s="9" t="n"/>
      <c r="AD58" s="9" t="n"/>
      <c r="AE58" s="9" t="n"/>
      <c r="AF58" s="9" t="n"/>
      <c r="AG58" s="10" t="n"/>
      <c r="AH58" s="10" t="n"/>
      <c r="AI58" s="10" t="n"/>
      <c r="AJ58" s="9" t="n"/>
      <c r="AK58" s="9" t="n"/>
    </row>
    <row r="59">
      <c r="A59" s="7" t="n"/>
      <c r="B59" s="2" t="n"/>
      <c r="C59" s="5" t="n"/>
      <c r="D59" s="5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8" t="n"/>
      <c r="AK59" s="8" t="n"/>
    </row>
    <row r="60">
      <c r="A60" s="7" t="n"/>
      <c r="B60" s="2" t="n"/>
      <c r="C60" s="5" t="n"/>
      <c r="D60" s="5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</row>
    <row r="61" ht="21.75" customHeight="1" thickBot="1">
      <c r="A61" s="79" t="inlineStr">
        <is>
          <t>Mas'ul shaxs</t>
        </is>
      </c>
      <c r="C61" s="5" t="n"/>
      <c r="D61" s="5" t="n"/>
      <c r="E61" s="80" t="n"/>
      <c r="F61" s="111" t="n"/>
      <c r="G61" s="111" t="n"/>
      <c r="H61" s="111" t="n"/>
      <c r="I61" s="111" t="n"/>
      <c r="J61" s="2" t="n"/>
      <c r="K61" s="2" t="n"/>
      <c r="L61" s="80" t="n"/>
      <c r="M61" s="111" t="n"/>
      <c r="N61" s="111" t="n"/>
      <c r="O61" s="111" t="n"/>
      <c r="P61" s="111" t="n"/>
      <c r="Q61" s="111" t="n"/>
      <c r="R61" s="111" t="n"/>
      <c r="S61" s="111" t="n"/>
      <c r="T61" s="111" t="n"/>
      <c r="U61" s="111" t="n"/>
      <c r="V61" s="111" t="n"/>
      <c r="W61" s="2" t="n"/>
      <c r="X61" s="81" t="inlineStr">
        <is>
          <t>" _______ " ____________ 20 _____y.</t>
        </is>
      </c>
      <c r="AF61" s="2" t="n"/>
      <c r="AG61" s="2" t="n"/>
      <c r="AH61" s="2" t="n"/>
      <c r="AI61" s="2" t="n"/>
      <c r="AJ61" s="2" t="n"/>
      <c r="AK61" s="2" t="n"/>
    </row>
    <row r="62">
      <c r="C62" s="82" t="inlineStr">
        <is>
          <t>lavozim</t>
        </is>
      </c>
      <c r="E62" s="82" t="inlineStr">
        <is>
          <t>shaxsiy imzo</t>
        </is>
      </c>
      <c r="F62" s="86" t="n"/>
      <c r="G62" s="86" t="n"/>
      <c r="H62" s="86" t="n"/>
      <c r="I62" s="86" t="n"/>
      <c r="J62" s="44" t="n"/>
      <c r="K62" s="2" t="n"/>
      <c r="L62" s="82" t="inlineStr">
        <is>
          <t>Imzo kengaytmasi</t>
        </is>
      </c>
      <c r="M62" s="86" t="n"/>
      <c r="N62" s="86" t="n"/>
      <c r="O62" s="86" t="n"/>
      <c r="P62" s="86" t="n"/>
      <c r="Q62" s="86" t="n"/>
      <c r="R62" s="86" t="n"/>
      <c r="S62" s="86" t="n"/>
      <c r="T62" s="86" t="n"/>
      <c r="U62" s="86" t="n"/>
      <c r="V62" s="86" t="n"/>
      <c r="W62" s="2" t="n"/>
      <c r="X62" s="81" t="n"/>
      <c r="Y62" s="81" t="n"/>
      <c r="Z62" s="81" t="n"/>
      <c r="AA62" s="81" t="n"/>
      <c r="AB62" s="81" t="n"/>
      <c r="AC62" s="81" t="n"/>
      <c r="AD62" s="81" t="n"/>
      <c r="AE62" s="81" t="n"/>
      <c r="AF62" s="2" t="n"/>
      <c r="AG62" s="2" t="n"/>
      <c r="AH62" s="2" t="n"/>
      <c r="AI62" s="2" t="n"/>
      <c r="AJ62" s="2" t="n"/>
      <c r="AK62" s="2" t="n"/>
    </row>
    <row r="63">
      <c r="A63" s="2" t="n"/>
      <c r="B63" s="2" t="n"/>
      <c r="C63" s="5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2" t="n"/>
      <c r="AG63" s="2" t="n"/>
      <c r="AH63" s="2" t="n"/>
      <c r="AI63" s="2" t="n"/>
      <c r="AJ63" s="2" t="n"/>
      <c r="AK63" s="2" t="n"/>
    </row>
    <row r="64" ht="27" customHeight="1" thickBot="1">
      <c r="A64" s="83" t="inlineStr">
        <is>
          <t>Kadrlar xizmati xodimi</t>
        </is>
      </c>
      <c r="C64" s="5" t="n"/>
      <c r="D64" s="2" t="n"/>
      <c r="E64" s="80" t="n"/>
      <c r="F64" s="111" t="n"/>
      <c r="G64" s="111" t="n"/>
      <c r="H64" s="111" t="n"/>
      <c r="I64" s="111" t="n"/>
      <c r="J64" s="2" t="n"/>
      <c r="K64" s="2" t="n"/>
      <c r="L64" s="80" t="n"/>
      <c r="M64" s="111" t="n"/>
      <c r="N64" s="111" t="n"/>
      <c r="O64" s="111" t="n"/>
      <c r="P64" s="111" t="n"/>
      <c r="Q64" s="111" t="n"/>
      <c r="R64" s="111" t="n"/>
      <c r="S64" s="111" t="n"/>
      <c r="T64" s="111" t="n"/>
      <c r="U64" s="111" t="n"/>
      <c r="V64" s="111" t="n"/>
      <c r="W64" s="2" t="n"/>
      <c r="X64" s="81" t="inlineStr">
        <is>
          <t>" _______" ____________ 20 _____ y.</t>
        </is>
      </c>
      <c r="AF64" s="2" t="n"/>
      <c r="AG64" s="2" t="n"/>
      <c r="AH64" s="2" t="n"/>
      <c r="AI64" s="2" t="n"/>
      <c r="AJ64" s="2" t="n"/>
      <c r="AK64" s="2" t="n"/>
    </row>
    <row r="65">
      <c r="C65" s="82" t="inlineStr">
        <is>
          <t>lavozim</t>
        </is>
      </c>
      <c r="D65" s="2" t="n"/>
      <c r="E65" s="82" t="inlineStr">
        <is>
          <t>shaxsiy imzo</t>
        </is>
      </c>
      <c r="F65" s="86" t="n"/>
      <c r="G65" s="86" t="n"/>
      <c r="H65" s="86" t="n"/>
      <c r="I65" s="86" t="n"/>
      <c r="J65" s="44" t="n"/>
      <c r="K65" s="2" t="n"/>
      <c r="L65" s="82" t="inlineStr">
        <is>
          <t>Imzo kengaytmasi</t>
        </is>
      </c>
      <c r="M65" s="86" t="n"/>
      <c r="N65" s="86" t="n"/>
      <c r="O65" s="86" t="n"/>
      <c r="P65" s="86" t="n"/>
      <c r="Q65" s="86" t="n"/>
      <c r="R65" s="86" t="n"/>
      <c r="S65" s="86" t="n"/>
      <c r="T65" s="86" t="n"/>
      <c r="U65" s="86" t="n"/>
      <c r="V65" s="86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</row>
  </sheetData>
  <mergeCells count="72">
    <mergeCell ref="C14:C17"/>
    <mergeCell ref="AD3:AK3"/>
    <mergeCell ref="X15:X17"/>
    <mergeCell ref="Q12:U12"/>
    <mergeCell ref="M15:M17"/>
    <mergeCell ref="E62:I62"/>
    <mergeCell ref="Q15:Q17"/>
    <mergeCell ref="AH15:AH17"/>
    <mergeCell ref="L65:V65"/>
    <mergeCell ref="S15:S17"/>
    <mergeCell ref="AJ15:AJ17"/>
    <mergeCell ref="A9:AF9"/>
    <mergeCell ref="AJ14:AK14"/>
    <mergeCell ref="AE15:AE17"/>
    <mergeCell ref="A8:AK8"/>
    <mergeCell ref="AF12:AH12"/>
    <mergeCell ref="AG15:AG17"/>
    <mergeCell ref="X61:AE61"/>
    <mergeCell ref="E64:I64"/>
    <mergeCell ref="I13:R13"/>
    <mergeCell ref="AE5:AK5"/>
    <mergeCell ref="B14:B17"/>
    <mergeCell ref="AC10:AH10"/>
    <mergeCell ref="AF11:AH11"/>
    <mergeCell ref="AD4:AJ4"/>
    <mergeCell ref="H15:H17"/>
    <mergeCell ref="N15:N17"/>
    <mergeCell ref="P15:P17"/>
    <mergeCell ref="AD1:AK1"/>
    <mergeCell ref="L62:V62"/>
    <mergeCell ref="T15:T17"/>
    <mergeCell ref="I15:I17"/>
    <mergeCell ref="Z15:Z17"/>
    <mergeCell ref="AB15:AB17"/>
    <mergeCell ref="K15:K17"/>
    <mergeCell ref="E18:AI18"/>
    <mergeCell ref="A7:AF7"/>
    <mergeCell ref="E65:I65"/>
    <mergeCell ref="AC12:AE12"/>
    <mergeCell ref="AC11:AE11"/>
    <mergeCell ref="L64:V64"/>
    <mergeCell ref="Y15:Y17"/>
    <mergeCell ref="A64:B65"/>
    <mergeCell ref="V10:AA11"/>
    <mergeCell ref="X64:AE64"/>
    <mergeCell ref="AD2:AK2"/>
    <mergeCell ref="L12:O12"/>
    <mergeCell ref="U15:U17"/>
    <mergeCell ref="O15:O17"/>
    <mergeCell ref="W15:W17"/>
    <mergeCell ref="A14:A17"/>
    <mergeCell ref="E14:AI14"/>
    <mergeCell ref="F15:F17"/>
    <mergeCell ref="AI15:AI17"/>
    <mergeCell ref="V12:AA12"/>
    <mergeCell ref="AA15:AA17"/>
    <mergeCell ref="E61:I61"/>
    <mergeCell ref="AK15:AK17"/>
    <mergeCell ref="AC15:AC17"/>
    <mergeCell ref="A61:B62"/>
    <mergeCell ref="A6:AK6"/>
    <mergeCell ref="D14:D17"/>
    <mergeCell ref="J15:J17"/>
    <mergeCell ref="L15:L17"/>
    <mergeCell ref="R15:R17"/>
    <mergeCell ref="V15:V17"/>
    <mergeCell ref="E15:E17"/>
    <mergeCell ref="G15:G17"/>
    <mergeCell ref="AD15:AD17"/>
    <mergeCell ref="Q10:U11"/>
    <mergeCell ref="AF15:AF17"/>
    <mergeCell ref="L61:V61"/>
  </mergeCells>
  <printOptions horizontalCentered="1"/>
  <pageMargins left="0.25" right="0.25" top="0.4" bottom="0.4" header="0.2" footer="0.2"/>
  <pageSetup orientation="landscape" paperSize="9" scale="40" fitToHeight="1" fitToWidth="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EKM</dc:creator>
  <dcterms:created xmlns:dcterms="http://purl.org/dc/terms/" xmlns:xsi="http://www.w3.org/2001/XMLSchema-instance" xsi:type="dcterms:W3CDTF">2026-08-28T06:43:20Z</dcterms:created>
  <dcterms:modified xmlns:dcterms="http://purl.org/dc/terms/" xmlns:xsi="http://www.w3.org/2001/XMLSchema-instance" xsi:type="dcterms:W3CDTF">2026-10-06T08:57:21Z</dcterms:modified>
  <cp:lastModifiedBy>EKM</cp:lastModifiedBy>
</cp:coreProperties>
</file>